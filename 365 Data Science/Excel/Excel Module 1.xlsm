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0" documentId="13_ncr:1_{553BAE69-83E4-488B-9FF3-2F9FF753E798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Treemap Chart" sheetId="30" r:id="rId15"/>
  </sheets>
  <definedNames>
    <definedName name="_xlnm._FilterDatabase" localSheetId="3" hidden="1">'1.1 FY2016'!$B$4:$G$4</definedName>
    <definedName name="_xlnm._FilterDatabase" localSheetId="4" hidden="1">'1.2 FY2017'!$B$4:$G$4</definedName>
    <definedName name="_xlnm._FilterDatabase" localSheetId="5" hidden="1">'1.3 FY2018'!$B$4:$G$4</definedName>
    <definedName name="_xlnm._FilterDatabase" localSheetId="7" hidden="1">'2.1 Database'!$B$3:$H$108</definedName>
    <definedName name="_xlchart.v1.0" hidden="1">'Bridge Chart'!$B$3:$B$8</definedName>
    <definedName name="_xlchart.v1.1" hidden="1">'Bridge Chart'!$C$3:$C$8</definedName>
    <definedName name="_xlchart.v1.2" hidden="1">'Treemap Chart'!$B$5:$C$13</definedName>
    <definedName name="_xlchart.v1.3" hidden="1">'Treemap Chart'!$D$4</definedName>
    <definedName name="_xlchart.v1.4" hidden="1">'Treemap Chart'!$D$5:$D$13</definedName>
    <definedName name="_xlchart.v1.5" hidden="1">'Treemap Chart'!$B$5:$C$13</definedName>
    <definedName name="_xlchart.v1.6" hidden="1">'Treemap Chart'!$D$4</definedName>
    <definedName name="_xlchart.v1.7" hidden="1">'Treemap Chart'!$D$5:$D$13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28" l="1"/>
  <c r="D6" i="28"/>
  <c r="C6" i="28"/>
  <c r="E5" i="28"/>
  <c r="D5" i="28"/>
  <c r="C5" i="28"/>
  <c r="E4" i="28"/>
  <c r="D4" i="28"/>
  <c r="C4" i="28"/>
  <c r="E6" i="29"/>
  <c r="D6" i="29"/>
  <c r="C6" i="29"/>
  <c r="E5" i="29"/>
  <c r="D5" i="29"/>
  <c r="C5" i="29"/>
  <c r="E4" i="29"/>
  <c r="D4" i="29"/>
  <c r="C4" i="29"/>
  <c r="C7" i="27"/>
  <c r="H13" i="21"/>
  <c r="H23" i="21"/>
  <c r="G4" i="21"/>
  <c r="E23" i="21"/>
  <c r="D23" i="21"/>
  <c r="G23" i="21" s="1"/>
  <c r="C23" i="21"/>
  <c r="E21" i="21"/>
  <c r="H21" i="21" s="1"/>
  <c r="D21" i="21"/>
  <c r="G21" i="21" s="1"/>
  <c r="C21" i="21"/>
  <c r="E20" i="21"/>
  <c r="H20" i="21" s="1"/>
  <c r="D20" i="21"/>
  <c r="G20" i="21" s="1"/>
  <c r="C20" i="21"/>
  <c r="E18" i="21"/>
  <c r="H18" i="21" s="1"/>
  <c r="D18" i="21"/>
  <c r="G18" i="21" s="1"/>
  <c r="C18" i="21"/>
  <c r="E16" i="21"/>
  <c r="H16" i="21" s="1"/>
  <c r="D16" i="21"/>
  <c r="G16" i="21" s="1"/>
  <c r="C16" i="21"/>
  <c r="E15" i="21"/>
  <c r="H15" i="21" s="1"/>
  <c r="D15" i="21"/>
  <c r="G15" i="21" s="1"/>
  <c r="C15" i="21"/>
  <c r="E14" i="21"/>
  <c r="H14" i="21" s="1"/>
  <c r="D14" i="21"/>
  <c r="G14" i="21" s="1"/>
  <c r="C14" i="21"/>
  <c r="E13" i="21"/>
  <c r="D13" i="21"/>
  <c r="G13" i="21" s="1"/>
  <c r="C13" i="21"/>
  <c r="E12" i="21"/>
  <c r="H12" i="21" s="1"/>
  <c r="D12" i="21"/>
  <c r="G12" i="21" s="1"/>
  <c r="C12" i="21"/>
  <c r="E11" i="21"/>
  <c r="H11" i="21" s="1"/>
  <c r="D11" i="21"/>
  <c r="G11" i="21" s="1"/>
  <c r="C11" i="21"/>
  <c r="C6" i="27" s="1"/>
  <c r="E10" i="21"/>
  <c r="H10" i="21" s="1"/>
  <c r="D10" i="21"/>
  <c r="G10" i="21" s="1"/>
  <c r="C10" i="21"/>
  <c r="C5" i="27" s="1"/>
  <c r="E8" i="21"/>
  <c r="H8" i="21" s="1"/>
  <c r="D8" i="21"/>
  <c r="G8" i="21" s="1"/>
  <c r="C8" i="21"/>
  <c r="C4" i="27" s="1"/>
  <c r="E6" i="21"/>
  <c r="H6" i="21" s="1"/>
  <c r="D6" i="21"/>
  <c r="G6" i="21" s="1"/>
  <c r="C6" i="21"/>
  <c r="E5" i="21"/>
  <c r="H5" i="21" s="1"/>
  <c r="D5" i="21"/>
  <c r="G5" i="21" s="1"/>
  <c r="C5" i="21"/>
  <c r="D4" i="21"/>
  <c r="E4" i="21"/>
  <c r="H4" i="21" s="1"/>
  <c r="C4" i="21"/>
  <c r="C3" i="27" s="1"/>
  <c r="C8" i="27" l="1"/>
  <c r="D7" i="21"/>
  <c r="E7" i="21"/>
  <c r="C7" i="21"/>
  <c r="C9" i="21" s="1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C61" i="10"/>
  <c r="D61" i="10"/>
  <c r="E61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C95" i="10"/>
  <c r="D95" i="10"/>
  <c r="E95" i="10"/>
  <c r="C96" i="10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D4" i="10"/>
  <c r="E4" i="10"/>
  <c r="C4" i="10"/>
  <c r="F5" i="10"/>
  <c r="G5" i="10"/>
  <c r="H5" i="10"/>
  <c r="F6" i="10"/>
  <c r="G6" i="10"/>
  <c r="H6" i="10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F15" i="10"/>
  <c r="G15" i="10"/>
  <c r="H15" i="10"/>
  <c r="F16" i="10"/>
  <c r="G16" i="10"/>
  <c r="H16" i="10"/>
  <c r="F17" i="10"/>
  <c r="G17" i="10"/>
  <c r="H17" i="10"/>
  <c r="F18" i="10"/>
  <c r="G18" i="10"/>
  <c r="H18" i="10"/>
  <c r="F19" i="10"/>
  <c r="G19" i="10"/>
  <c r="H19" i="10"/>
  <c r="F20" i="10"/>
  <c r="G20" i="10"/>
  <c r="H20" i="10"/>
  <c r="F21" i="10"/>
  <c r="G21" i="10"/>
  <c r="H21" i="10"/>
  <c r="F22" i="10"/>
  <c r="G22" i="10"/>
  <c r="H22" i="10"/>
  <c r="F23" i="10"/>
  <c r="G23" i="10"/>
  <c r="H23" i="10"/>
  <c r="F24" i="10"/>
  <c r="G24" i="10"/>
  <c r="H24" i="10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F38" i="10"/>
  <c r="G38" i="10"/>
  <c r="H38" i="10"/>
  <c r="F39" i="10"/>
  <c r="G39" i="10"/>
  <c r="H39" i="10"/>
  <c r="F40" i="10"/>
  <c r="G40" i="10"/>
  <c r="H40" i="10"/>
  <c r="F41" i="10"/>
  <c r="G41" i="10"/>
  <c r="H41" i="10"/>
  <c r="F42" i="10"/>
  <c r="G42" i="10"/>
  <c r="H42" i="10"/>
  <c r="F43" i="10"/>
  <c r="G43" i="10"/>
  <c r="H43" i="10"/>
  <c r="F44" i="10"/>
  <c r="G44" i="10"/>
  <c r="H44" i="10"/>
  <c r="F45" i="10"/>
  <c r="G45" i="10"/>
  <c r="H45" i="10"/>
  <c r="F46" i="10"/>
  <c r="G46" i="10"/>
  <c r="H46" i="10"/>
  <c r="F47" i="10"/>
  <c r="G47" i="10"/>
  <c r="H47" i="10"/>
  <c r="F48" i="10"/>
  <c r="G48" i="10"/>
  <c r="H48" i="10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F73" i="10"/>
  <c r="G73" i="10"/>
  <c r="H73" i="10"/>
  <c r="F74" i="10"/>
  <c r="G74" i="10"/>
  <c r="H74" i="10"/>
  <c r="F75" i="10"/>
  <c r="G75" i="10"/>
  <c r="H75" i="10"/>
  <c r="F76" i="10"/>
  <c r="G76" i="10"/>
  <c r="H76" i="10"/>
  <c r="F77" i="10"/>
  <c r="G77" i="10"/>
  <c r="H77" i="10"/>
  <c r="F78" i="10"/>
  <c r="G78" i="10"/>
  <c r="H78" i="10"/>
  <c r="F79" i="10"/>
  <c r="G79" i="10"/>
  <c r="H79" i="10"/>
  <c r="F80" i="10"/>
  <c r="G80" i="10"/>
  <c r="H80" i="10"/>
  <c r="F81" i="10"/>
  <c r="G81" i="10"/>
  <c r="H81" i="10"/>
  <c r="F82" i="10"/>
  <c r="G82" i="10"/>
  <c r="H82" i="10"/>
  <c r="F83" i="10"/>
  <c r="G83" i="10"/>
  <c r="H83" i="10"/>
  <c r="F84" i="10"/>
  <c r="G84" i="10"/>
  <c r="H84" i="10"/>
  <c r="F85" i="10"/>
  <c r="G85" i="10"/>
  <c r="H85" i="10"/>
  <c r="F86" i="10"/>
  <c r="G86" i="10"/>
  <c r="H86" i="10"/>
  <c r="F87" i="10"/>
  <c r="G87" i="10"/>
  <c r="H87" i="10"/>
  <c r="F88" i="10"/>
  <c r="G88" i="10"/>
  <c r="H88" i="10"/>
  <c r="F89" i="10"/>
  <c r="G89" i="10"/>
  <c r="H89" i="10"/>
  <c r="F90" i="10"/>
  <c r="G90" i="10"/>
  <c r="H90" i="10"/>
  <c r="F91" i="10"/>
  <c r="G91" i="10"/>
  <c r="H91" i="10"/>
  <c r="F92" i="10"/>
  <c r="G92" i="10"/>
  <c r="H92" i="10"/>
  <c r="F93" i="10"/>
  <c r="G93" i="10"/>
  <c r="H93" i="10"/>
  <c r="F94" i="10"/>
  <c r="G94" i="10"/>
  <c r="H94" i="10"/>
  <c r="F95" i="10"/>
  <c r="G95" i="10"/>
  <c r="H95" i="10"/>
  <c r="F96" i="10"/>
  <c r="G96" i="10"/>
  <c r="H96" i="10"/>
  <c r="F97" i="10"/>
  <c r="G97" i="10"/>
  <c r="H97" i="10"/>
  <c r="F98" i="10"/>
  <c r="G98" i="10"/>
  <c r="H98" i="10"/>
  <c r="F99" i="10"/>
  <c r="G99" i="10"/>
  <c r="H99" i="10"/>
  <c r="F100" i="10"/>
  <c r="G100" i="10"/>
  <c r="H100" i="10"/>
  <c r="F101" i="10"/>
  <c r="G101" i="10"/>
  <c r="H101" i="10"/>
  <c r="F102" i="10"/>
  <c r="G102" i="10"/>
  <c r="H102" i="10"/>
  <c r="F103" i="10"/>
  <c r="G103" i="10"/>
  <c r="H103" i="10"/>
  <c r="F104" i="10"/>
  <c r="G104" i="10"/>
  <c r="H104" i="10"/>
  <c r="F105" i="10"/>
  <c r="G105" i="10"/>
  <c r="H105" i="10"/>
  <c r="F106" i="10"/>
  <c r="G106" i="10"/>
  <c r="H106" i="10"/>
  <c r="F107" i="10"/>
  <c r="G107" i="10"/>
  <c r="H107" i="10"/>
  <c r="F108" i="10"/>
  <c r="G108" i="10"/>
  <c r="H108" i="10"/>
  <c r="G4" i="10"/>
  <c r="H4" i="10"/>
  <c r="F4" i="10"/>
  <c r="C17" i="21" l="1"/>
  <c r="C27" i="21"/>
  <c r="E9" i="21"/>
  <c r="H7" i="21"/>
  <c r="D9" i="21"/>
  <c r="G7" i="21"/>
  <c r="E17" i="21" l="1"/>
  <c r="E27" i="21"/>
  <c r="H9" i="21"/>
  <c r="D17" i="21"/>
  <c r="G9" i="21"/>
  <c r="D27" i="21"/>
  <c r="C19" i="21"/>
  <c r="C28" i="21"/>
  <c r="D19" i="21" l="1"/>
  <c r="D28" i="21"/>
  <c r="G17" i="21"/>
  <c r="C22" i="21"/>
  <c r="C24" i="21" s="1"/>
  <c r="C29" i="21"/>
  <c r="E19" i="21"/>
  <c r="H17" i="21"/>
  <c r="E28" i="21"/>
  <c r="E22" i="21" l="1"/>
  <c r="E29" i="21"/>
  <c r="H19" i="21"/>
  <c r="D22" i="21"/>
  <c r="G19" i="21"/>
  <c r="D29" i="21"/>
  <c r="D24" i="21" l="1"/>
  <c r="G24" i="21" s="1"/>
  <c r="G22" i="21"/>
  <c r="E24" i="21"/>
  <c r="H24" i="21" s="1"/>
  <c r="H22" i="21"/>
</calcChain>
</file>

<file path=xl/sharedStrings.xml><?xml version="1.0" encoding="utf-8"?>
<sst xmlns="http://schemas.openxmlformats.org/spreadsheetml/2006/main" count="1007" uniqueCount="277">
  <si>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</si>
  <si>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</si>
  <si>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</si>
  <si>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</si>
  <si>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</si>
  <si>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</si>
  <si>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</si>
  <si>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</si>
  <si>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</si>
  <si>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</si>
  <si>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</si>
  <si>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</si>
  <si>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</si>
  <si>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</si>
  <si>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</si>
  <si>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</si>
  <si>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</si>
  <si>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</si>
  <si>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</si>
  <si>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</si>
  <si>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</si>
  <si>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</si>
  <si>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</si>
  <si>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</si>
  <si>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</si>
  <si>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</si>
  <si>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</si>
  <si>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</si>
  <si>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</si>
  <si>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</si>
  <si>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</si>
  <si>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</si>
  <si>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</si>
  <si>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</si>
  <si>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</si>
  <si>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</si>
  <si>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</si>
  <si>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</si>
  <si>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</si>
  <si>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</si>
  <si>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</si>
  <si>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</si>
  <si>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</si>
  <si>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</si>
  <si>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</si>
  <si>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</si>
  <si>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</si>
  <si>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</si>
  <si>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</si>
  <si>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</si>
  <si>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</si>
  <si>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</si>
  <si>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</si>
  <si>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</si>
  <si>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</si>
  <si>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</si>
  <si>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</si>
  <si>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</si>
  <si>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</si>
  <si>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</si>
  <si>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</si>
  <si>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</si>
  <si>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</si>
  <si>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</si>
  <si>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</si>
  <si>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</si>
  <si>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</si>
  <si>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</si>
  <si>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</si>
  <si>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</si>
  <si>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</si>
  <si>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</si>
  <si>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</si>
  <si>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</si>
  <si>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</si>
  <si>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</si>
  <si>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</si>
  <si>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</si>
  <si>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</si>
  <si>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</si>
  <si>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</si>
  <si>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</si>
  <si>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</si>
  <si>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</si>
  <si>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</si>
  <si>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</si>
  <si>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</si>
  <si>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</si>
  <si>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</si>
  <si>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</si>
  <si>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</si>
  <si>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</si>
  <si>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</si>
  <si>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</si>
  <si>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</si>
  <si>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</si>
  <si>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</si>
  <si>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</si>
  <si>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</si>
  <si>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</si>
  <si>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</si>
  <si>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</si>
  <si>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</si>
  <si>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</si>
  <si>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</si>
  <si>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</si>
  <si>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</si>
  <si>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</si>
  <si>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</si>
  <si>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</si>
  <si>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</si>
  <si>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</si>
  <si>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</si>
  <si>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</si>
  <si>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</si>
  <si>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</si>
  <si>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</si>
  <si>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</si>
  <si>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</si>
  <si>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</si>
  <si>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</si>
  <si>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</si>
  <si>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</si>
  <si>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</si>
  <si>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</si>
  <si>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</si>
  <si>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</si>
  <si>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</si>
  <si>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</si>
  <si>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</si>
  <si>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</si>
  <si>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</si>
  <si>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</si>
  <si>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</si>
  <si>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</si>
  <si>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</si>
  <si>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</si>
  <si>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</si>
  <si>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</si>
  <si>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</si>
  <si>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</si>
  <si>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</si>
  <si>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</si>
  <si>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</si>
  <si>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</si>
  <si>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</si>
  <si>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</si>
  <si>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</si>
  <si>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</si>
  <si>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</si>
  <si>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</si>
  <si>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</si>
  <si>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</si>
  <si>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</si>
  <si>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</si>
  <si>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</si>
  <si>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</si>
  <si>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</si>
  <si>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</si>
  <si>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</si>
  <si>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</si>
  <si>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</si>
  <si>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</si>
  <si>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</si>
  <si>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</si>
  <si>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</si>
  <si>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</si>
  <si>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</si>
  <si>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</si>
  <si>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</si>
  <si>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</si>
  <si>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</si>
  <si>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</si>
  <si>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</si>
  <si>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</si>
  <si>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</si>
  <si>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</si>
  <si>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</si>
  <si>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</si>
  <si>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</si>
  <si>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</si>
  <si>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</si>
  <si>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</si>
  <si>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</si>
  <si>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</si>
  <si>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</si>
  <si>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</si>
  <si>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</si>
  <si>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</si>
  <si>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</si>
  <si>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</si>
  <si>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</si>
  <si>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</si>
  <si>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</si>
  <si>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</si>
  <si>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</si>
  <si>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</si>
  <si>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</si>
  <si>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</si>
  <si>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</si>
  <si>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</si>
  <si>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</si>
  <si>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</si>
  <si>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</si>
  <si>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</si>
  <si>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</si>
  <si>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</si>
  <si>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</si>
  <si>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</si>
  <si>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</si>
  <si>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</si>
  <si>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</si>
  <si>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</si>
  <si>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</si>
  <si>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</si>
  <si>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</si>
  <si>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</si>
  <si>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</si>
  <si>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</si>
  <si>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</si>
  <si>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</si>
  <si>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</si>
  <si>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</si>
  <si>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</si>
  <si>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</si>
  <si>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</si>
  <si>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</si>
  <si>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</si>
  <si>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</si>
  <si>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</si>
  <si>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</si>
  <si>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</si>
  <si>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</si>
  <si>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</si>
  <si>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</si>
  <si>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</si>
  <si>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</si>
  <si>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</si>
  <si>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</si>
  <si>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</si>
  <si>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</si>
  <si>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</si>
  <si>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</si>
  <si>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</si>
  <si>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Var % FY16-FY17</t>
  </si>
  <si>
    <t>Var % FY17-FY18</t>
  </si>
  <si>
    <t>KPIs</t>
  </si>
  <si>
    <t>GM%</t>
  </si>
  <si>
    <t>EBITDA%</t>
  </si>
  <si>
    <t>EBIT%</t>
  </si>
  <si>
    <t>Bridge Chart</t>
  </si>
  <si>
    <t>Direct Costs</t>
  </si>
  <si>
    <t>Other Operating Expenses</t>
  </si>
  <si>
    <t>Personnel Expenses</t>
  </si>
  <si>
    <t>Other Income</t>
  </si>
  <si>
    <t>Popular Tourist Destinations</t>
  </si>
  <si>
    <t>Country</t>
  </si>
  <si>
    <t>City</t>
  </si>
  <si>
    <t>Number of Tourists</t>
  </si>
  <si>
    <t>Italy</t>
  </si>
  <si>
    <t>France</t>
  </si>
  <si>
    <t>UK</t>
  </si>
  <si>
    <t>Rome</t>
  </si>
  <si>
    <t>Milan</t>
  </si>
  <si>
    <t>Florence</t>
  </si>
  <si>
    <t>Paris</t>
  </si>
  <si>
    <t>Nizza</t>
  </si>
  <si>
    <t>Marseille</t>
  </si>
  <si>
    <t>London</t>
  </si>
  <si>
    <t>Manchester</t>
  </si>
  <si>
    <t>Liverpool</t>
  </si>
  <si>
    <t>Trend</t>
  </si>
  <si>
    <t>Column stacked chart</t>
  </si>
  <si>
    <t>Doughnut Chart</t>
  </si>
  <si>
    <t>Area Chart</t>
  </si>
  <si>
    <t>Revenues</t>
  </si>
  <si>
    <t>Gross Margin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</si>
</sst>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6" formatCode="_(&quot;$&quot;* #,##0.0_);_(&quot;$&quot;* \(#,##0.0\);_(&quot;$&quot;* &quot;-&quot;??_);_(@_)"/>
    <numFmt numFmtId="167" formatCode="0.0%"/>
  </numFmts>
  <fonts count="2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4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0" fillId="2" borderId="0" xfId="0" applyFill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44" fontId="1" fillId="2" borderId="0" xfId="4" applyFont="1" applyFill="1" applyAlignment="1">
      <alignment horizontal="left"/>
    </xf>
    <xf numFmtId="0" fontId="19" fillId="2" borderId="3" xfId="0" applyFont="1" applyFill="1" applyBorder="1"/>
    <xf numFmtId="0" fontId="0" fillId="2" borderId="2" xfId="0" applyFill="1" applyBorder="1"/>
    <xf numFmtId="0" fontId="1" fillId="2" borderId="2" xfId="0" applyFont="1" applyFill="1" applyBorder="1"/>
    <xf numFmtId="0" fontId="18" fillId="3" borderId="0" xfId="0" applyFont="1" applyFill="1"/>
    <xf numFmtId="0" fontId="20" fillId="2" borderId="4" xfId="0" applyFont="1" applyFill="1" applyBorder="1"/>
    <xf numFmtId="0" fontId="19" fillId="2" borderId="3" xfId="0" applyFont="1" applyFill="1" applyBorder="1" applyAlignment="1">
      <alignment horizontal="right"/>
    </xf>
    <xf numFmtId="166" fontId="0" fillId="2" borderId="0" xfId="4" applyNumberFormat="1" applyFont="1" applyFill="1"/>
    <xf numFmtId="166" fontId="0" fillId="2" borderId="2" xfId="4" applyNumberFormat="1" applyFont="1" applyFill="1" applyBorder="1"/>
    <xf numFmtId="166" fontId="18" fillId="3" borderId="0" xfId="4" applyNumberFormat="1" applyFont="1" applyFill="1"/>
    <xf numFmtId="166" fontId="17" fillId="2" borderId="4" xfId="4" applyNumberFormat="1" applyFont="1" applyFill="1" applyBorder="1"/>
    <xf numFmtId="0" fontId="19" fillId="2" borderId="3" xfId="0" applyFont="1" applyFill="1" applyBorder="1" applyAlignment="1">
      <alignment horizontal="right" wrapText="1"/>
    </xf>
    <xf numFmtId="9" fontId="0" fillId="2" borderId="0" xfId="5" applyFont="1" applyFill="1"/>
    <xf numFmtId="9" fontId="21" fillId="2" borderId="0" xfId="5" applyFont="1" applyFill="1"/>
    <xf numFmtId="9" fontId="21" fillId="2" borderId="2" xfId="5" applyFont="1" applyFill="1" applyBorder="1"/>
    <xf numFmtId="9" fontId="22" fillId="3" borderId="0" xfId="5" applyFont="1" applyFill="1"/>
    <xf numFmtId="9" fontId="23" fillId="2" borderId="4" xfId="5" applyFont="1" applyFill="1" applyBorder="1"/>
    <xf numFmtId="0" fontId="0" fillId="5" borderId="0" xfId="0" applyFill="1"/>
    <xf numFmtId="9" fontId="0" fillId="5" borderId="0" xfId="5" applyFont="1" applyFill="1"/>
    <xf numFmtId="0" fontId="19" fillId="2" borderId="3" xfId="0" applyFont="1" applyFill="1" applyBorder="1" applyAlignment="1">
      <alignment horizontal="center" wrapText="1"/>
    </xf>
    <xf numFmtId="167" fontId="1" fillId="2" borderId="0" xfId="0" applyNumberFormat="1" applyFont="1" applyFill="1"/>
  </cellXfs>
  <cellStyles count="6">
    <cellStyle name="Comma" xfId="2" builtinId="3"/>
    <cellStyle name="Currency" xfId="4" builtinId="4"/>
    <cellStyle name="Hyperlink" xfId="3" builtinId="8"/>
    <cellStyle name="Normal" xfId="0" builtinId="0"/>
    <cellStyle name="Percent" xfId="5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statement'!$C$4:$E$4</c:f>
              <c:numCache>
                <c:formatCode>_("$"* #,##0.0_);_("$"* \(#,##0.0\);_("$"*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6-4727-8B4D-709E756A8590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statement'!$C$5:$E$5</c:f>
              <c:numCache>
                <c:formatCode>_("$"* #,##0.0_);_("$"* \(#,##0.0\);_("$"*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96-4727-8B4D-709E756A8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33292920"/>
        <c:axId val="433293576"/>
      </c:barChart>
      <c:catAx>
        <c:axId val="433292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EUR in millions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3293576"/>
        <c:crosses val="autoZero"/>
        <c:auto val="1"/>
        <c:lblAlgn val="ctr"/>
        <c:lblOffset val="100"/>
        <c:noMultiLvlLbl val="0"/>
      </c:catAx>
      <c:valAx>
        <c:axId val="43329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alpha val="25000"/>
                </a:schemeClr>
              </a:solidFill>
              <a:round/>
            </a:ln>
            <a:effectLst/>
          </c:spPr>
        </c:majorGridlines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3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Revenue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column'!$C$4:$E$4</c:f>
              <c:numCache>
                <c:formatCode>_("$"* #,##0.0_);_("$"* \(#,##0.0\);_("$"*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0-4B66-8592-B8599EC2F517}"/>
            </c:ext>
          </c:extLst>
        </c:ser>
        <c:ser>
          <c:idx val="1"/>
          <c:order val="1"/>
          <c:tx>
            <c:strRef>
              <c:f>'Stacked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_("$"* #,##0.0_);_("$"* \(#,##0.0\);_("$"*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D0-4B66-8592-B8599EC2F517}"/>
            </c:ext>
          </c:extLst>
        </c:ser>
        <c:ser>
          <c:idx val="2"/>
          <c:order val="2"/>
          <c:tx>
            <c:strRef>
              <c:f>'Stacked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_("$"* #,##0.0_);_("$"* \(#,##0.0\);_("$"* "-"??_);_(@_)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D0-4B66-8592-B8599EC2F5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66094560"/>
        <c:axId val="666094888"/>
      </c:barChart>
      <c:lineChart>
        <c:grouping val="standard"/>
        <c:varyColors val="0"/>
        <c:ser>
          <c:idx val="3"/>
          <c:order val="3"/>
          <c:tx>
            <c:strRef>
              <c:f>'Stacked column'!$B$7</c:f>
              <c:strCache>
                <c:ptCount val="1"/>
                <c:pt idx="0">
                  <c:v>GM%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FD0-4B66-8592-B8599EC2F5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687208"/>
        <c:axId val="767688192"/>
      </c:lineChart>
      <c:catAx>
        <c:axId val="6660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66094888"/>
        <c:crosses val="autoZero"/>
        <c:auto val="1"/>
        <c:lblAlgn val="ctr"/>
        <c:lblOffset val="100"/>
        <c:noMultiLvlLbl val="0"/>
      </c:catAx>
      <c:valAx>
        <c:axId val="66609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66094560"/>
        <c:crosses val="autoZero"/>
        <c:crossBetween val="between"/>
      </c:valAx>
      <c:valAx>
        <c:axId val="7676881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67687208"/>
        <c:crosses val="max"/>
        <c:crossBetween val="between"/>
      </c:valAx>
      <c:catAx>
        <c:axId val="767687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6881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Breakdown</a:t>
            </a:r>
            <a:r>
              <a:rPr lang="en-US" sz="9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of Revenues in </a:t>
            </a:r>
            <a:r>
              <a:rPr lang="en-US" sz="9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FY18</a:t>
            </a:r>
          </a:p>
        </c:rich>
      </c:tx>
      <c:layout>
        <c:manualLayout>
          <c:xMode val="edge"/>
          <c:yMode val="edge"/>
          <c:x val="3.7430446194225711E-2"/>
          <c:y val="2.777777777777777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'Dougnut chart'!$E$3</c:f>
              <c:strCache>
                <c:ptCount val="1"/>
                <c:pt idx="0">
                  <c:v>FY18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2A-4652-A36D-6B828AFEBFD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02A-4652-A36D-6B828AFEBFDE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2A-4652-A36D-6B828AFEBF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chart'!$E$4:$E$6</c:f>
              <c:numCache>
                <c:formatCode>_("$"* #,##0.0_);_("$"* \(#,##0.0\);_("$"* "-"??_);_(@_)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2A-4652-A36D-6B828AFE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FY16 - FY18 Revenues and Gross Margin %</a:t>
            </a:r>
          </a:p>
        </c:rich>
      </c:tx>
      <c:layout>
        <c:manualLayout>
          <c:xMode val="edge"/>
          <c:yMode val="edge"/>
          <c:x val="3.3937445319335069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chart'!$C$4:$E$4</c:f>
              <c:numCache>
                <c:formatCode>General</c:formatCode>
                <c:ptCount val="3"/>
                <c:pt idx="0">
                  <c:v>22.5</c:v>
                </c:pt>
                <c:pt idx="1">
                  <c:v>26</c:v>
                </c:pt>
                <c:pt idx="2">
                  <c:v>26.3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B-4376-841F-FBF718C6A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842664"/>
        <c:axId val="767843648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chart'!$C$5:$E$5</c:f>
              <c:numCache>
                <c:formatCode>0.0%</c:formatCode>
                <c:ptCount val="3"/>
                <c:pt idx="0">
                  <c:v>0.80300000000000005</c:v>
                </c:pt>
                <c:pt idx="1">
                  <c:v>0.79</c:v>
                </c:pt>
                <c:pt idx="2">
                  <c:v>0.78400000000000003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9B-4376-841F-FBF718C6A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28864"/>
        <c:axId val="778730504"/>
      </c:lineChart>
      <c:catAx>
        <c:axId val="76784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67843648"/>
        <c:crosses val="autoZero"/>
        <c:auto val="1"/>
        <c:lblAlgn val="ctr"/>
        <c:lblOffset val="100"/>
        <c:noMultiLvlLbl val="0"/>
      </c:catAx>
      <c:valAx>
        <c:axId val="767843648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67842664"/>
        <c:crosses val="autoZero"/>
        <c:crossBetween val="between"/>
        <c:minorUnit val="1"/>
      </c:valAx>
      <c:valAx>
        <c:axId val="778730504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8728864"/>
        <c:crosses val="max"/>
        <c:crossBetween val="between"/>
        <c:minorUnit val="2.0000000000000004E-2"/>
      </c:valAx>
      <c:catAx>
        <c:axId val="778728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873050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EBITDA Expansion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EBITDA Expansion</a:t>
          </a:r>
        </a:p>
      </cx:txPr>
    </cx:title>
    <cx:plotArea>
      <cx:plotAreaRegion>
        <cx:series layoutId="waterfall" uniqueId="{3BFB1056-D143-42E2-BA31-CCD5495CC921}">
          <cx:dataLabels pos="inEnd">
            <cx:visibility seriesName="0" categoryName="0" value="1"/>
            <cx:separator>, </cx:separator>
          </cx:dataLabels>
          <cx:dataId val="0"/>
          <cx:layoutPr>
            <cx:subtotals>
              <cx:idx val="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title pos="t" align="ctr" overlay="0">
      <cx:tx>
        <cx:txData>
          <cx:v>Popular Tourist Destinations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Popular Tourist Destinations</a:t>
          </a:r>
        </a:p>
      </cx:txPr>
    </cx:title>
    <cx:plotArea>
      <cx:plotAreaRegion>
        <cx:series layoutId="treemap" uniqueId="{8FA0AC30-3C47-489A-A7F6-61FA8FC72EFD}">
          <cx:tx>
            <cx:txData>
              <cx:f>_xlchart.v1.3</cx:f>
              <cx:v>Number of Tourists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80962</xdr:rowOff>
    </xdr:from>
    <xdr:to>
      <xdr:col>17</xdr:col>
      <xdr:colOff>361950</xdr:colOff>
      <xdr:row>16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2A4508-2E0A-4F59-91FB-DAA2DC61F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385762</xdr:colOff>
      <xdr:row>1</xdr:row>
      <xdr:rowOff>52387</xdr:rowOff>
    </xdr:from>
    <xdr:to>
      <xdr:col>9</xdr:col>
      <xdr:colOff>42862</xdr:colOff>
      <xdr:row>15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EF8914-96FE-43D1-A248-AE07E0CBD8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1</xdr:row>
      <xdr:rowOff>119062</xdr:rowOff>
    </xdr:from>
    <xdr:to>
      <xdr:col>12</xdr:col>
      <xdr:colOff>581025</xdr:colOff>
      <xdr:row>18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60C991-E777-4329-AEB1-8899DFE8A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0.28333</cdr:x>
      <cdr:y>0.47743</cdr:y>
    </cdr:from>
    <cdr:to>
      <cdr:x>0.49653</cdr:x>
      <cdr:y>0.60185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5098E36-B697-42C6-ABD1-017CCB07D850}"/>
            </a:ext>
          </a:extLst>
        </cdr:cNvPr>
        <cdr:cNvSpPr txBox="1"/>
      </cdr:nvSpPr>
      <cdr:spPr>
        <a:xfrm xmlns:a="http://schemas.openxmlformats.org/drawingml/2006/main">
          <a:off x="1295400" y="1309688"/>
          <a:ext cx="974725" cy="34131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$26.3</a:t>
          </a:r>
          <a:r>
            <a:rPr lang="en-US" sz="1100" b="1" baseline="0"/>
            <a:t> MM</a:t>
          </a:r>
          <a:endParaRPr lang="en-US" sz="11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433387</xdr:colOff>
      <xdr:row>1</xdr:row>
      <xdr:rowOff>100012</xdr:rowOff>
    </xdr:from>
    <xdr:to>
      <xdr:col>13</xdr:col>
      <xdr:colOff>128587</xdr:colOff>
      <xdr:row>19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D09F2-157D-41C9-B261-D28211CD2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</xdr:colOff>
      <xdr:row>0</xdr:row>
      <xdr:rowOff>52387</xdr:rowOff>
    </xdr:from>
    <xdr:to>
      <xdr:col>11</xdr:col>
      <xdr:colOff>338137</xdr:colOff>
      <xdr:row>14</xdr:row>
      <xdr:rowOff>119062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0539404-BAB5-473F-97C6-4E36031888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00437" y="5238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414337</xdr:colOff>
      <xdr:row>1</xdr:row>
      <xdr:rowOff>166687</xdr:rowOff>
    </xdr:from>
    <xdr:to>
      <xdr:col>12</xdr:col>
      <xdr:colOff>109537</xdr:colOff>
      <xdr:row>16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BA5F629-ED03-426F-9D1C-ED874BEDEF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43287" y="36671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17"/>
  <sheetViews>
    <sheetView tabSelected="1"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7" t="s">
        <v>57</v>
      </c>
    </row>
    <row r="4" spans="2:4" ht="12.75" thickBot="1" x14ac:dyDescent="0.25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x14ac:dyDescent="0.2">
      <c r="B6" s="11">
        <v>2</v>
      </c>
      <c r="C6" s="12" t="s">
        <v>62</v>
      </c>
      <c r="D6" s="12"/>
    </row>
    <row r="7" spans="2:4" x14ac:dyDescent="0.2">
      <c r="B7" s="8">
        <v>3</v>
      </c>
      <c r="C7" s="23" t="s">
        <v>109</v>
      </c>
    </row>
    <row r="8" spans="2:4" x14ac:dyDescent="0.2">
      <c r="B8" s="8">
        <v>4</v>
      </c>
      <c r="C8" s="23" t="s">
        <v>110</v>
      </c>
    </row>
    <row r="9" spans="2:4" x14ac:dyDescent="0.2">
      <c r="B9" s="8">
        <v>5</v>
      </c>
      <c r="C9" s="23" t="s">
        <v>111</v>
      </c>
    </row>
    <row r="10" spans="2:4" x14ac:dyDescent="0.2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x14ac:dyDescent="0.2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96"/>
  <sheetViews>
    <sheetView workbookViewId="0">
      <selection activeCell="B4" sqref="B4:G4"/>
    </sheetView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7.42578125" style="2" bestFit="1" customWidth="1"/>
    <col min="4" max="4" width="16.7109375" style="2" bestFit="1" customWidth="1"/>
    <col min="5" max="5" width="24" style="2" bestFit="1" customWidth="1"/>
    <col min="6" max="6" width="11.5703125" style="2" bestFit="1" customWidth="1"/>
    <col min="7" max="7" width="16.140625" style="2" bestFit="1" customWidth="1"/>
    <col min="8" max="16384" width="9.140625" style="2"/>
  </cols>
  <sheetData>
    <row r="1" spans="2:7" ht="15.75" x14ac:dyDescent="0.25">
      <c r="C1" s="3" t="s">
        <v>112</v>
      </c>
    </row>
    <row r="4" spans="2:7" x14ac:dyDescent="0.2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2">
      <c r="B5" s="2" t="s">
        <v>116</v>
      </c>
      <c r="C5" s="6" t="s">
        <v>65</v>
      </c>
      <c r="D5" s="6">
        <v>111111</v>
      </c>
      <c r="E5" s="6" t="s">
        <v>103</v>
      </c>
      <c r="F5" s="16">
        <v>-14500341</v>
      </c>
      <c r="G5" s="17">
        <v>2001110000</v>
      </c>
    </row>
    <row r="6" spans="2:7" x14ac:dyDescent="0.2">
      <c r="B6" s="2" t="s">
        <v>117</v>
      </c>
      <c r="C6" s="6" t="s">
        <v>66</v>
      </c>
      <c r="D6" s="6">
        <v>111111</v>
      </c>
      <c r="E6" s="6" t="s">
        <v>103</v>
      </c>
      <c r="F6" s="16">
        <v>-4794856.1919999998</v>
      </c>
      <c r="G6" s="17">
        <v>2001190000</v>
      </c>
    </row>
    <row r="7" spans="2:7" x14ac:dyDescent="0.2">
      <c r="B7" s="2" t="s">
        <v>118</v>
      </c>
      <c r="C7" s="6" t="s">
        <v>67</v>
      </c>
      <c r="D7" s="6">
        <v>1009</v>
      </c>
      <c r="E7" s="6" t="s">
        <v>35</v>
      </c>
      <c r="F7" s="16">
        <v>-154890.4</v>
      </c>
      <c r="G7" s="17">
        <v>2020000000</v>
      </c>
    </row>
    <row r="8" spans="2:7" x14ac:dyDescent="0.2">
      <c r="B8" s="2" t="s">
        <v>119</v>
      </c>
      <c r="C8" s="6" t="s">
        <v>67</v>
      </c>
      <c r="D8" s="6">
        <v>1007</v>
      </c>
      <c r="E8" s="6" t="s">
        <v>37</v>
      </c>
      <c r="F8" s="16">
        <v>-1180894.0520000001</v>
      </c>
      <c r="G8" s="17">
        <v>2020000000</v>
      </c>
    </row>
    <row r="9" spans="2:7" x14ac:dyDescent="0.2">
      <c r="B9" s="2" t="s">
        <v>120</v>
      </c>
      <c r="C9" s="6" t="s">
        <v>67</v>
      </c>
      <c r="D9" s="6">
        <v>1008</v>
      </c>
      <c r="E9" s="6" t="s">
        <v>39</v>
      </c>
      <c r="F9" s="16">
        <v>-793079.51199999999</v>
      </c>
      <c r="G9" s="17">
        <v>2020000000</v>
      </c>
    </row>
    <row r="10" spans="2:7" x14ac:dyDescent="0.2">
      <c r="B10" s="2" t="s">
        <v>121</v>
      </c>
      <c r="C10" s="6" t="s">
        <v>67</v>
      </c>
      <c r="D10" s="6">
        <v>111101</v>
      </c>
      <c r="E10" s="6" t="s">
        <v>0</v>
      </c>
      <c r="F10" s="16">
        <v>-2277197.6</v>
      </c>
      <c r="G10" s="17">
        <v>2020000000</v>
      </c>
    </row>
    <row r="11" spans="2:7" x14ac:dyDescent="0.2">
      <c r="B11" s="2" t="s">
        <v>122</v>
      </c>
      <c r="C11" s="6" t="s">
        <v>104</v>
      </c>
      <c r="D11" s="6">
        <v>111111</v>
      </c>
      <c r="E11" s="6" t="s">
        <v>103</v>
      </c>
      <c r="F11" s="16">
        <v>4428911.7640000004</v>
      </c>
      <c r="G11" s="17">
        <v>2021900000</v>
      </c>
    </row>
    <row r="12" spans="2:7" x14ac:dyDescent="0.2">
      <c r="B12" s="2" t="s">
        <v>123</v>
      </c>
      <c r="C12" s="6" t="s">
        <v>69</v>
      </c>
      <c r="D12" s="6">
        <v>111111</v>
      </c>
      <c r="E12" s="6" t="s">
        <v>103</v>
      </c>
      <c r="F12" s="16">
        <v>16977.628000000001</v>
      </c>
      <c r="G12" s="17">
        <v>2024080000</v>
      </c>
    </row>
    <row r="13" spans="2:7" x14ac:dyDescent="0.2">
      <c r="B13" s="2" t="s">
        <v>124</v>
      </c>
      <c r="C13" s="6" t="s">
        <v>68</v>
      </c>
      <c r="D13" s="6">
        <v>88</v>
      </c>
      <c r="E13" s="6" t="s">
        <v>32</v>
      </c>
      <c r="F13" s="16">
        <v>2245437.54</v>
      </c>
      <c r="G13" s="17">
        <v>2024090000</v>
      </c>
    </row>
    <row r="14" spans="2:7" x14ac:dyDescent="0.2">
      <c r="B14" s="2" t="s">
        <v>125</v>
      </c>
      <c r="C14" s="6" t="s">
        <v>68</v>
      </c>
      <c r="D14" s="6">
        <v>111111</v>
      </c>
      <c r="E14" s="6" t="s">
        <v>103</v>
      </c>
      <c r="F14" s="16">
        <v>16605.634000000002</v>
      </c>
      <c r="G14" s="17">
        <v>2024090000</v>
      </c>
    </row>
    <row r="15" spans="2:7" x14ac:dyDescent="0.2">
      <c r="B15" s="2" t="s">
        <v>126</v>
      </c>
      <c r="C15" s="6" t="s">
        <v>1</v>
      </c>
      <c r="D15" s="6">
        <v>111111</v>
      </c>
      <c r="E15" s="6" t="s">
        <v>103</v>
      </c>
      <c r="F15" s="16">
        <v>4683394.0460000001</v>
      </c>
      <c r="G15" s="17">
        <v>2041000000</v>
      </c>
    </row>
    <row r="16" spans="2:7" x14ac:dyDescent="0.2">
      <c r="B16" s="2" t="s">
        <v>127</v>
      </c>
      <c r="C16" s="6" t="s">
        <v>70</v>
      </c>
      <c r="D16" s="6">
        <v>111101</v>
      </c>
      <c r="E16" s="6" t="s">
        <v>0</v>
      </c>
      <c r="F16" s="16">
        <v>1143051.5760000001</v>
      </c>
      <c r="G16" s="17">
        <v>2042000000</v>
      </c>
    </row>
    <row r="17" spans="2:7" x14ac:dyDescent="0.2">
      <c r="B17" s="2" t="s">
        <v>128</v>
      </c>
      <c r="C17" s="6" t="s">
        <v>70</v>
      </c>
      <c r="D17" s="6">
        <v>88</v>
      </c>
      <c r="E17" s="6" t="s">
        <v>32</v>
      </c>
      <c r="F17" s="16">
        <v>239379.61800000002</v>
      </c>
      <c r="G17" s="17">
        <v>2042000000</v>
      </c>
    </row>
    <row r="18" spans="2:7" x14ac:dyDescent="0.2">
      <c r="B18" s="2" t="s">
        <v>129</v>
      </c>
      <c r="C18" s="6" t="s">
        <v>71</v>
      </c>
      <c r="D18" s="6">
        <v>111101</v>
      </c>
      <c r="E18" s="6" t="s">
        <v>0</v>
      </c>
      <c r="F18" s="16">
        <v>104913.8</v>
      </c>
      <c r="G18" s="17">
        <v>2045000000</v>
      </c>
    </row>
    <row r="19" spans="2:7" x14ac:dyDescent="0.2">
      <c r="B19" s="2" t="s">
        <v>130</v>
      </c>
      <c r="C19" s="6" t="s">
        <v>72</v>
      </c>
      <c r="D19" s="6">
        <v>111101</v>
      </c>
      <c r="E19" s="6" t="s">
        <v>0</v>
      </c>
      <c r="F19" s="16">
        <v>2003262.2180000001</v>
      </c>
      <c r="G19" s="17">
        <v>2051210000</v>
      </c>
    </row>
    <row r="20" spans="2:7" x14ac:dyDescent="0.2">
      <c r="B20" s="2" t="s">
        <v>131</v>
      </c>
      <c r="C20" s="6" t="s">
        <v>72</v>
      </c>
      <c r="D20" s="6">
        <v>1</v>
      </c>
      <c r="E20" s="6" t="s">
        <v>0</v>
      </c>
      <c r="F20" s="16">
        <v>41981.296000000002</v>
      </c>
      <c r="G20" s="17">
        <v>2051210000</v>
      </c>
    </row>
    <row r="21" spans="2:7" x14ac:dyDescent="0.2">
      <c r="B21" s="2" t="s">
        <v>132</v>
      </c>
      <c r="C21" s="6" t="s">
        <v>73</v>
      </c>
      <c r="D21" s="6" t="s">
        <v>3</v>
      </c>
      <c r="E21" s="6" t="s">
        <v>40</v>
      </c>
      <c r="F21" s="16">
        <v>-2156147.4</v>
      </c>
      <c r="G21" s="17">
        <v>2069010000</v>
      </c>
    </row>
    <row r="22" spans="2:7" x14ac:dyDescent="0.2">
      <c r="B22" s="2" t="s">
        <v>133</v>
      </c>
      <c r="C22" s="6" t="s">
        <v>73</v>
      </c>
      <c r="D22" s="6">
        <v>14</v>
      </c>
      <c r="E22" s="6" t="s">
        <v>41</v>
      </c>
      <c r="F22" s="16">
        <v>-291428.55199999997</v>
      </c>
      <c r="G22" s="17">
        <v>2069010000</v>
      </c>
    </row>
    <row r="23" spans="2:7" x14ac:dyDescent="0.2">
      <c r="B23" s="2" t="s">
        <v>134</v>
      </c>
      <c r="C23" s="6" t="s">
        <v>73</v>
      </c>
      <c r="D23" s="6">
        <v>1037</v>
      </c>
      <c r="E23" s="6" t="s">
        <v>46</v>
      </c>
      <c r="F23" s="16">
        <v>0</v>
      </c>
      <c r="G23" s="17">
        <v>2069010000</v>
      </c>
    </row>
    <row r="24" spans="2:7" x14ac:dyDescent="0.2">
      <c r="B24" s="2" t="s">
        <v>135</v>
      </c>
      <c r="C24" s="6" t="s">
        <v>73</v>
      </c>
      <c r="D24" s="6" t="s">
        <v>4</v>
      </c>
      <c r="E24" s="6" t="s">
        <v>45</v>
      </c>
      <c r="F24" s="16">
        <v>-33736.5</v>
      </c>
      <c r="G24" s="17">
        <v>2069010000</v>
      </c>
    </row>
    <row r="25" spans="2:7" x14ac:dyDescent="0.2">
      <c r="B25" s="2" t="s">
        <v>136</v>
      </c>
      <c r="C25" s="6" t="s">
        <v>73</v>
      </c>
      <c r="D25" s="6">
        <v>1009</v>
      </c>
      <c r="E25" s="6" t="s">
        <v>35</v>
      </c>
      <c r="F25" s="16">
        <v>0</v>
      </c>
      <c r="G25" s="17">
        <v>2069010000</v>
      </c>
    </row>
    <row r="26" spans="2:7" x14ac:dyDescent="0.2">
      <c r="B26" s="2" t="s">
        <v>137</v>
      </c>
      <c r="C26" s="6" t="s">
        <v>73</v>
      </c>
      <c r="D26" s="6">
        <v>1007</v>
      </c>
      <c r="E26" s="6" t="s">
        <v>37</v>
      </c>
      <c r="F26" s="16">
        <v>0</v>
      </c>
      <c r="G26" s="17">
        <v>2069010000</v>
      </c>
    </row>
    <row r="27" spans="2:7" x14ac:dyDescent="0.2">
      <c r="B27" s="2" t="s">
        <v>138</v>
      </c>
      <c r="C27" s="6" t="s">
        <v>73</v>
      </c>
      <c r="D27" s="6">
        <v>1008</v>
      </c>
      <c r="E27" s="6" t="s">
        <v>39</v>
      </c>
      <c r="F27" s="16">
        <v>0</v>
      </c>
      <c r="G27" s="17">
        <v>2069010000</v>
      </c>
    </row>
    <row r="28" spans="2:7" x14ac:dyDescent="0.2">
      <c r="B28" s="2" t="s">
        <v>139</v>
      </c>
      <c r="C28" s="6" t="s">
        <v>73</v>
      </c>
      <c r="D28" s="6">
        <v>1240</v>
      </c>
      <c r="E28" s="6" t="s">
        <v>44</v>
      </c>
      <c r="F28" s="16">
        <v>-199600.4</v>
      </c>
      <c r="G28" s="17">
        <v>2069010000</v>
      </c>
    </row>
    <row r="29" spans="2:7" x14ac:dyDescent="0.2">
      <c r="B29" s="2" t="s">
        <v>140</v>
      </c>
      <c r="C29" s="6" t="s">
        <v>73</v>
      </c>
      <c r="D29" s="6">
        <v>111111</v>
      </c>
      <c r="E29" s="6" t="s">
        <v>103</v>
      </c>
      <c r="F29" s="16">
        <v>-539141.4</v>
      </c>
      <c r="G29" s="17">
        <v>2069010000</v>
      </c>
    </row>
    <row r="30" spans="2:7" x14ac:dyDescent="0.2">
      <c r="B30" s="2" t="s">
        <v>141</v>
      </c>
      <c r="C30" s="6" t="s">
        <v>74</v>
      </c>
      <c r="D30" s="6">
        <v>111111</v>
      </c>
      <c r="E30" s="6" t="s">
        <v>103</v>
      </c>
      <c r="F30" s="16">
        <v>-57.221999999999994</v>
      </c>
      <c r="G30" s="17">
        <v>2069980000</v>
      </c>
    </row>
    <row r="31" spans="2:7" x14ac:dyDescent="0.2">
      <c r="B31" s="2" t="s">
        <v>142</v>
      </c>
      <c r="C31" s="6" t="s">
        <v>75</v>
      </c>
      <c r="D31" s="6">
        <v>111111</v>
      </c>
      <c r="E31" s="6" t="s">
        <v>103</v>
      </c>
      <c r="F31" s="16">
        <v>22314.879999999997</v>
      </c>
      <c r="G31" s="17">
        <v>2070400000</v>
      </c>
    </row>
    <row r="32" spans="2:7" x14ac:dyDescent="0.2">
      <c r="B32" s="2" t="s">
        <v>143</v>
      </c>
      <c r="C32" s="6" t="s">
        <v>76</v>
      </c>
      <c r="D32" s="6">
        <v>88</v>
      </c>
      <c r="E32" s="6" t="s">
        <v>32</v>
      </c>
      <c r="F32" s="16">
        <v>204000</v>
      </c>
      <c r="G32" s="17">
        <v>2070500000</v>
      </c>
    </row>
    <row r="33" spans="2:7" x14ac:dyDescent="0.2">
      <c r="B33" s="2" t="s">
        <v>144</v>
      </c>
      <c r="C33" s="6" t="s">
        <v>76</v>
      </c>
      <c r="D33" s="6">
        <v>111111</v>
      </c>
      <c r="E33" s="6" t="s">
        <v>103</v>
      </c>
      <c r="F33" s="16">
        <v>138.41399999999999</v>
      </c>
      <c r="G33" s="17">
        <v>2070500000</v>
      </c>
    </row>
    <row r="34" spans="2:7" x14ac:dyDescent="0.2">
      <c r="B34" s="2" t="s">
        <v>145</v>
      </c>
      <c r="C34" s="6" t="s">
        <v>77</v>
      </c>
      <c r="D34" s="6">
        <v>111111</v>
      </c>
      <c r="E34" s="6" t="s">
        <v>103</v>
      </c>
      <c r="F34" s="16">
        <v>1127445.872</v>
      </c>
      <c r="G34" s="17">
        <v>2070600000</v>
      </c>
    </row>
    <row r="35" spans="2:7" x14ac:dyDescent="0.2">
      <c r="B35" s="2" t="s">
        <v>146</v>
      </c>
      <c r="C35" s="6" t="s">
        <v>78</v>
      </c>
      <c r="D35" s="6" t="s">
        <v>5</v>
      </c>
      <c r="E35" s="6" t="s">
        <v>42</v>
      </c>
      <c r="F35" s="16">
        <v>133722</v>
      </c>
      <c r="G35" s="17">
        <v>2070900000</v>
      </c>
    </row>
    <row r="36" spans="2:7" x14ac:dyDescent="0.2">
      <c r="B36" s="2" t="s">
        <v>147</v>
      </c>
      <c r="C36" s="6" t="s">
        <v>78</v>
      </c>
      <c r="D36" s="6" t="s">
        <v>6</v>
      </c>
      <c r="E36" s="6" t="s">
        <v>43</v>
      </c>
      <c r="F36" s="16">
        <v>328061.886</v>
      </c>
      <c r="G36" s="17">
        <v>2070900000</v>
      </c>
    </row>
    <row r="37" spans="2:7" x14ac:dyDescent="0.2">
      <c r="B37" s="2" t="s">
        <v>148</v>
      </c>
      <c r="C37" s="6" t="s">
        <v>78</v>
      </c>
      <c r="D37" s="6">
        <v>111111</v>
      </c>
      <c r="E37" s="6" t="s">
        <v>103</v>
      </c>
      <c r="F37" s="16">
        <v>2081304.3219999997</v>
      </c>
      <c r="G37" s="17">
        <v>2070900000</v>
      </c>
    </row>
    <row r="38" spans="2:7" x14ac:dyDescent="0.2">
      <c r="B38" s="2" t="s">
        <v>149</v>
      </c>
      <c r="C38" s="6" t="s">
        <v>7</v>
      </c>
      <c r="D38" s="6">
        <v>111111</v>
      </c>
      <c r="E38" s="6" t="s">
        <v>103</v>
      </c>
      <c r="F38" s="16">
        <v>33410.031999999999</v>
      </c>
      <c r="G38" s="17">
        <v>2071000000</v>
      </c>
    </row>
    <row r="39" spans="2:7" x14ac:dyDescent="0.2">
      <c r="B39" s="2" t="s">
        <v>150</v>
      </c>
      <c r="C39" s="6" t="s">
        <v>79</v>
      </c>
      <c r="D39" s="6">
        <v>111111</v>
      </c>
      <c r="E39" s="6" t="s">
        <v>103</v>
      </c>
      <c r="F39" s="16">
        <v>213090.85199999998</v>
      </c>
      <c r="G39" s="17">
        <v>2071100000</v>
      </c>
    </row>
    <row r="40" spans="2:7" x14ac:dyDescent="0.2">
      <c r="B40" s="2" t="s">
        <v>151</v>
      </c>
      <c r="C40" s="6" t="s">
        <v>8</v>
      </c>
      <c r="D40" s="6">
        <v>111111</v>
      </c>
      <c r="E40" s="6" t="s">
        <v>103</v>
      </c>
      <c r="F40" s="16">
        <v>1813525.004</v>
      </c>
      <c r="G40" s="17">
        <v>2071209200</v>
      </c>
    </row>
    <row r="41" spans="2:7" x14ac:dyDescent="0.2">
      <c r="B41" s="2" t="s">
        <v>152</v>
      </c>
      <c r="C41" s="6" t="s">
        <v>80</v>
      </c>
      <c r="D41" s="6">
        <v>111111</v>
      </c>
      <c r="E41" s="6" t="s">
        <v>103</v>
      </c>
      <c r="F41" s="16">
        <v>5552.2</v>
      </c>
      <c r="G41" s="17">
        <v>2071209400</v>
      </c>
    </row>
    <row r="42" spans="2:7" x14ac:dyDescent="0.2">
      <c r="B42" s="2" t="s">
        <v>153</v>
      </c>
      <c r="C42" s="6" t="s">
        <v>81</v>
      </c>
      <c r="D42" s="6">
        <v>111111</v>
      </c>
      <c r="E42" s="6" t="s">
        <v>103</v>
      </c>
      <c r="F42" s="16">
        <v>43868.975999999995</v>
      </c>
      <c r="G42" s="17">
        <v>2071209500</v>
      </c>
    </row>
    <row r="43" spans="2:7" x14ac:dyDescent="0.2">
      <c r="B43" s="2" t="s">
        <v>154</v>
      </c>
      <c r="C43" s="6" t="s">
        <v>82</v>
      </c>
      <c r="D43" s="6">
        <v>111101</v>
      </c>
      <c r="E43" s="6" t="s">
        <v>0</v>
      </c>
      <c r="F43" s="16">
        <v>10934.671999999999</v>
      </c>
      <c r="G43" s="17">
        <v>2071980000</v>
      </c>
    </row>
    <row r="44" spans="2:7" x14ac:dyDescent="0.2">
      <c r="B44" s="2" t="s">
        <v>155</v>
      </c>
      <c r="C44" s="6" t="s">
        <v>83</v>
      </c>
      <c r="D44" s="6">
        <v>111111</v>
      </c>
      <c r="E44" s="6" t="s">
        <v>103</v>
      </c>
      <c r="F44" s="16">
        <v>20400</v>
      </c>
      <c r="G44" s="17">
        <v>2079022000</v>
      </c>
    </row>
    <row r="45" spans="2:7" x14ac:dyDescent="0.2">
      <c r="B45" s="2" t="s">
        <v>156</v>
      </c>
      <c r="C45" s="6" t="s">
        <v>84</v>
      </c>
      <c r="D45" s="6">
        <v>105</v>
      </c>
      <c r="E45" s="6" t="s">
        <v>33</v>
      </c>
      <c r="F45" s="16">
        <v>0</v>
      </c>
      <c r="G45" s="17">
        <v>2079070000</v>
      </c>
    </row>
    <row r="46" spans="2:7" x14ac:dyDescent="0.2">
      <c r="B46" s="2" t="s">
        <v>157</v>
      </c>
      <c r="C46" s="6" t="s">
        <v>84</v>
      </c>
      <c r="D46" s="6">
        <v>111111</v>
      </c>
      <c r="E46" s="6" t="s">
        <v>103</v>
      </c>
      <c r="F46" s="16">
        <v>563918.152</v>
      </c>
      <c r="G46" s="17">
        <v>2079070000</v>
      </c>
    </row>
    <row r="47" spans="2:7" x14ac:dyDescent="0.2">
      <c r="B47" s="2" t="s">
        <v>158</v>
      </c>
      <c r="C47" s="6" t="s">
        <v>85</v>
      </c>
      <c r="D47" s="6">
        <v>1009</v>
      </c>
      <c r="E47" s="6" t="s">
        <v>35</v>
      </c>
      <c r="F47" s="16">
        <v>0</v>
      </c>
      <c r="G47" s="17">
        <v>2079080000</v>
      </c>
    </row>
    <row r="48" spans="2:7" x14ac:dyDescent="0.2">
      <c r="B48" s="2" t="s">
        <v>159</v>
      </c>
      <c r="C48" s="6" t="s">
        <v>85</v>
      </c>
      <c r="D48" s="6">
        <v>1007</v>
      </c>
      <c r="E48" s="6" t="s">
        <v>37</v>
      </c>
      <c r="F48" s="16">
        <v>0</v>
      </c>
      <c r="G48" s="17">
        <v>2079080000</v>
      </c>
    </row>
    <row r="49" spans="2:7" x14ac:dyDescent="0.2">
      <c r="B49" s="2" t="s">
        <v>160</v>
      </c>
      <c r="C49" s="6" t="s">
        <v>85</v>
      </c>
      <c r="D49" s="6">
        <v>1008</v>
      </c>
      <c r="E49" s="6" t="s">
        <v>39</v>
      </c>
      <c r="F49" s="16">
        <v>0</v>
      </c>
      <c r="G49" s="17">
        <v>2079080000</v>
      </c>
    </row>
    <row r="50" spans="2:7" x14ac:dyDescent="0.2">
      <c r="B50" s="2" t="s">
        <v>161</v>
      </c>
      <c r="C50" s="6" t="s">
        <v>86</v>
      </c>
      <c r="D50" s="6">
        <v>1009</v>
      </c>
      <c r="E50" s="6" t="s">
        <v>35</v>
      </c>
      <c r="F50" s="16">
        <v>0</v>
      </c>
      <c r="G50" s="17">
        <v>2082280000</v>
      </c>
    </row>
    <row r="51" spans="2:7" x14ac:dyDescent="0.2">
      <c r="B51" s="2" t="s">
        <v>162</v>
      </c>
      <c r="C51" s="6" t="s">
        <v>86</v>
      </c>
      <c r="D51" s="6">
        <v>1007</v>
      </c>
      <c r="E51" s="6" t="s">
        <v>37</v>
      </c>
      <c r="F51" s="16">
        <v>0</v>
      </c>
      <c r="G51" s="17">
        <v>2082280000</v>
      </c>
    </row>
    <row r="52" spans="2:7" x14ac:dyDescent="0.2">
      <c r="B52" s="2" t="s">
        <v>163</v>
      </c>
      <c r="C52" s="6" t="s">
        <v>86</v>
      </c>
      <c r="D52" s="6">
        <v>1008</v>
      </c>
      <c r="E52" s="6" t="s">
        <v>39</v>
      </c>
      <c r="F52" s="16">
        <v>0</v>
      </c>
      <c r="G52" s="17">
        <v>2082280000</v>
      </c>
    </row>
    <row r="53" spans="2:7" x14ac:dyDescent="0.2">
      <c r="B53" s="2" t="s">
        <v>164</v>
      </c>
      <c r="C53" s="6" t="s">
        <v>86</v>
      </c>
      <c r="D53" s="6">
        <v>1240</v>
      </c>
      <c r="E53" s="6" t="s">
        <v>44</v>
      </c>
      <c r="F53" s="16">
        <v>-35810.228000000003</v>
      </c>
      <c r="G53" s="17">
        <v>2082280000</v>
      </c>
    </row>
    <row r="54" spans="2:7" x14ac:dyDescent="0.2">
      <c r="B54" s="2" t="s">
        <v>165</v>
      </c>
      <c r="C54" s="6" t="s">
        <v>86</v>
      </c>
      <c r="D54" s="6">
        <v>111111</v>
      </c>
      <c r="E54" s="6" t="s">
        <v>103</v>
      </c>
      <c r="F54" s="16">
        <v>-51927.417999999998</v>
      </c>
      <c r="G54" s="17">
        <v>2082280000</v>
      </c>
    </row>
    <row r="55" spans="2:7" x14ac:dyDescent="0.2">
      <c r="B55" s="2" t="s">
        <v>166</v>
      </c>
      <c r="C55" s="6" t="s">
        <v>9</v>
      </c>
      <c r="D55" s="6">
        <v>111101</v>
      </c>
      <c r="E55" s="6" t="s">
        <v>0</v>
      </c>
      <c r="F55" s="16">
        <v>-862270.63399999996</v>
      </c>
      <c r="G55" s="17">
        <v>2082202000</v>
      </c>
    </row>
    <row r="56" spans="2:7" x14ac:dyDescent="0.2">
      <c r="B56" s="2" t="s">
        <v>167</v>
      </c>
      <c r="C56" s="6" t="s">
        <v>87</v>
      </c>
      <c r="D56" s="6">
        <v>111101</v>
      </c>
      <c r="E56" s="6" t="s">
        <v>0</v>
      </c>
      <c r="F56" s="16">
        <v>22763</v>
      </c>
      <c r="G56" s="17">
        <v>2082208200</v>
      </c>
    </row>
    <row r="57" spans="2:7" x14ac:dyDescent="0.2">
      <c r="B57" s="2" t="s">
        <v>168</v>
      </c>
      <c r="C57" s="6" t="s">
        <v>88</v>
      </c>
      <c r="D57" s="6">
        <v>88</v>
      </c>
      <c r="E57" s="6" t="s">
        <v>32</v>
      </c>
      <c r="F57" s="16">
        <v>2930430.0120000001</v>
      </c>
      <c r="G57" s="17">
        <v>2082214000</v>
      </c>
    </row>
    <row r="58" spans="2:7" x14ac:dyDescent="0.2">
      <c r="B58" s="2" t="s">
        <v>169</v>
      </c>
      <c r="C58" s="6" t="s">
        <v>89</v>
      </c>
      <c r="D58" s="6">
        <v>111101</v>
      </c>
      <c r="E58" s="6" t="s">
        <v>0</v>
      </c>
      <c r="F58" s="16">
        <v>-49378.641999999993</v>
      </c>
      <c r="G58" s="17">
        <v>2091200000</v>
      </c>
    </row>
    <row r="59" spans="2:7" x14ac:dyDescent="0.2">
      <c r="B59" s="2" t="s">
        <v>170</v>
      </c>
      <c r="C59" s="6" t="s">
        <v>90</v>
      </c>
      <c r="D59" s="6">
        <v>111101</v>
      </c>
      <c r="E59" s="6" t="s">
        <v>0</v>
      </c>
      <c r="F59" s="16">
        <v>516250.67</v>
      </c>
      <c r="G59" s="17">
        <v>2091200001</v>
      </c>
    </row>
    <row r="60" spans="2:7" x14ac:dyDescent="0.2">
      <c r="B60" s="2" t="s">
        <v>171</v>
      </c>
      <c r="C60" s="6" t="s">
        <v>91</v>
      </c>
      <c r="D60" s="6">
        <v>111101</v>
      </c>
      <c r="E60" s="6" t="s">
        <v>0</v>
      </c>
      <c r="F60" s="16">
        <v>21593.093999999997</v>
      </c>
      <c r="G60" s="17">
        <v>2092200000</v>
      </c>
    </row>
    <row r="61" spans="2:7" x14ac:dyDescent="0.2">
      <c r="B61" s="2" t="s">
        <v>172</v>
      </c>
      <c r="C61" s="18" t="s">
        <v>64</v>
      </c>
      <c r="D61" s="18">
        <v>111101</v>
      </c>
      <c r="E61" s="18" t="s">
        <v>0</v>
      </c>
      <c r="F61" s="19">
        <v>-2904117.9939999986</v>
      </c>
      <c r="G61" s="20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B4:G4" xr:uid="{A5D12ABE-F949-4114-8B70-B1F284324F9A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G129"/>
  <sheetViews>
    <sheetView workbookViewId="0">
      <selection activeCell="B4" sqref="B4:G4"/>
    </sheetView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9.7109375" style="2" bestFit="1" customWidth="1"/>
    <col min="4" max="4" width="16.7109375" style="2" bestFit="1" customWidth="1"/>
    <col min="5" max="5" width="24.28515625" style="2" bestFit="1" customWidth="1"/>
    <col min="6" max="6" width="11.5703125" style="2" bestFit="1" customWidth="1"/>
    <col min="7" max="7" width="16.140625" style="2" bestFit="1" customWidth="1"/>
    <col min="8" max="16384" width="9.140625" style="2"/>
  </cols>
  <sheetData>
    <row r="1" spans="2:7" ht="15.75" x14ac:dyDescent="0.25">
      <c r="C1" s="3" t="s">
        <v>113</v>
      </c>
    </row>
    <row r="4" spans="2:7" x14ac:dyDescent="0.2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  <row r="128" spans="4:4" x14ac:dyDescent="0.2">
      <c r="D128" s="6"/>
    </row>
    <row r="129" spans="4:4" x14ac:dyDescent="0.2">
      <c r="D129" s="6"/>
    </row>
  </sheetData>
  <autoFilter ref="B4:G4" xr:uid="{B2004B35-4FA7-4A65-A403-B22032C3BBB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117"/>
  <sheetViews>
    <sheetView topLeftCell="A2" workbookViewId="0">
      <selection activeCell="B5" sqref="B5:B78"/>
    </sheetView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38.5703125" style="2" bestFit="1" customWidth="1"/>
    <col min="4" max="4" width="16.7109375" style="2" bestFit="1" customWidth="1"/>
    <col min="5" max="5" width="26" style="2" bestFit="1" customWidth="1"/>
    <col min="6" max="6" width="11.5703125" style="2" bestFit="1" customWidth="1"/>
    <col min="7" max="7" width="16.140625" style="2" bestFit="1" customWidth="1"/>
    <col min="8" max="16384" width="9.140625" style="2"/>
  </cols>
  <sheetData>
    <row r="1" spans="2:7" ht="15.75" x14ac:dyDescent="0.25">
      <c r="C1" s="3" t="s">
        <v>114</v>
      </c>
    </row>
    <row r="4" spans="2:7" x14ac:dyDescent="0.2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21">
        <v>-616462.01899999997</v>
      </c>
      <c r="G5" s="6">
        <v>2001110000</v>
      </c>
    </row>
    <row r="6" spans="2:7" x14ac:dyDescent="0.2">
      <c r="B6" s="2" t="s">
        <v>116</v>
      </c>
      <c r="C6" s="2" t="s">
        <v>65</v>
      </c>
      <c r="D6" s="6">
        <v>111111</v>
      </c>
      <c r="E6" s="2" t="s">
        <v>103</v>
      </c>
      <c r="F6" s="22">
        <v>-14431341</v>
      </c>
      <c r="G6" s="17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">
      <c r="D79" s="6"/>
    </row>
    <row r="80" spans="2:7" x14ac:dyDescent="0.2">
      <c r="D80" s="6"/>
    </row>
    <row r="81" spans="4:4" x14ac:dyDescent="0.2">
      <c r="D81" s="6"/>
    </row>
    <row r="82" spans="4:4" x14ac:dyDescent="0.2">
      <c r="D82" s="6"/>
    </row>
    <row r="83" spans="4:4" x14ac:dyDescent="0.2">
      <c r="D83" s="6"/>
    </row>
    <row r="84" spans="4:4" x14ac:dyDescent="0.2">
      <c r="D84" s="6"/>
    </row>
    <row r="85" spans="4:4" x14ac:dyDescent="0.2">
      <c r="D85" s="6"/>
    </row>
    <row r="86" spans="4:4" x14ac:dyDescent="0.2">
      <c r="D86" s="6"/>
    </row>
    <row r="87" spans="4:4" x14ac:dyDescent="0.2">
      <c r="D87" s="6"/>
    </row>
    <row r="88" spans="4:4" x14ac:dyDescent="0.2">
      <c r="D88" s="6"/>
    </row>
    <row r="89" spans="4:4" x14ac:dyDescent="0.2">
      <c r="D89" s="6"/>
    </row>
    <row r="90" spans="4:4" x14ac:dyDescent="0.2">
      <c r="D90" s="6"/>
    </row>
    <row r="91" spans="4:4" x14ac:dyDescent="0.2">
      <c r="D91" s="6"/>
    </row>
    <row r="92" spans="4:4" x14ac:dyDescent="0.2">
      <c r="D92" s="6"/>
    </row>
    <row r="93" spans="4:4" x14ac:dyDescent="0.2">
      <c r="D93" s="6"/>
    </row>
    <row r="94" spans="4:4" x14ac:dyDescent="0.2">
      <c r="D94" s="6"/>
    </row>
    <row r="95" spans="4:4" x14ac:dyDescent="0.2">
      <c r="D95" s="6"/>
    </row>
    <row r="96" spans="4:4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</sheetData>
  <autoFilter ref="B4:G4" xr:uid="{B145F21D-A3D3-430F-AE37-7D97557A0E6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J182"/>
  <sheetViews>
    <sheetView workbookViewId="0">
      <selection activeCell="J78" sqref="G78:J78"/>
    </sheetView>
  </sheetViews>
  <sheetFormatPr defaultColWidth="9.140625" defaultRowHeight="15" x14ac:dyDescent="0.25"/>
  <cols>
    <col min="1" max="1" width="2" style="2" customWidth="1"/>
    <col min="2" max="2" width="26.140625" style="24" bestFit="1" customWidth="1"/>
    <col min="3" max="3" width="38.5703125" style="6" bestFit="1" customWidth="1"/>
    <col min="4" max="4" width="20.28515625" style="6" bestFit="1" customWidth="1"/>
    <col min="5" max="5" width="30.140625" style="6" bestFit="1" customWidth="1"/>
    <col min="6" max="8" width="14.5703125" style="6" bestFit="1" customWidth="1"/>
    <col min="9" max="9" width="3.140625" style="2" customWidth="1"/>
    <col min="10" max="10" width="10.7109375" style="2" bestFit="1" customWidth="1"/>
    <col min="11" max="16384" width="9.140625" style="2"/>
  </cols>
  <sheetData>
    <row r="1" spans="2:10" ht="15.75" x14ac:dyDescent="0.25">
      <c r="B1" s="26" t="s">
        <v>56</v>
      </c>
    </row>
    <row r="2" spans="2:10" ht="12" x14ac:dyDescent="0.2">
      <c r="B2" s="6"/>
    </row>
    <row r="3" spans="2:10" ht="15.75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5" t="s">
        <v>221</v>
      </c>
      <c r="G3" s="25" t="s">
        <v>222</v>
      </c>
      <c r="H3" s="25" t="s">
        <v>223</v>
      </c>
      <c r="J3" s="25" t="s">
        <v>224</v>
      </c>
    </row>
    <row r="4" spans="2:10" x14ac:dyDescent="0.25">
      <c r="B4" s="24" t="s">
        <v>116</v>
      </c>
      <c r="C4" s="6" t="str">
        <f>_xlfn.IFNA(INDEX('1.1 FY2016'!$B$5:$G$61,MATCH('2.1 Database'!$B4,'1.1 FY2016'!$B$5:$B$61,0),MATCH('2.1 Database'!C$3,'1.1 FY2016'!$B$4:$G$4,0)),_xlfn.IFNA(INDEX('1.2 FY2017'!$B$5:$G$86,MATCH('2.1 Database'!$B4,'1.2 FY2017'!$B$5:$B$86,0),MATCH('2.1 Database'!C$3,'1.2 FY2017'!$B$4:$G$4,0)),INDEX('1.3 FY2018'!$B$5:$G$78,MATCH('2.1 Database'!$B4,'1.3 FY2018'!$B$5:$B$78,0),MATCH('2.1 Database'!C$3,'1.3 FY2018'!$B$4:$G$4,0))))</f>
        <v>Core business revenues</v>
      </c>
      <c r="D4" s="6">
        <f>_xlfn.IFNA(INDEX('1.1 FY2016'!$B$5:$G$61,MATCH('2.1 Database'!$B4,'1.1 FY2016'!$B$5:$B$61,0),MATCH('2.1 Database'!D$3,'1.1 FY2016'!$B$4:$G$4,0)),_xlfn.IFNA(INDEX('1.2 FY2017'!$B$5:$G$86,MATCH('2.1 Database'!$B4,'1.2 FY2017'!$B$5:$B$86,0),MATCH('2.1 Database'!D$3,'1.2 FY2017'!$B$4:$G$4,0)),INDEX('1.3 FY2018'!$B$5:$G$78,MATCH('2.1 Database'!$B4,'1.3 FY2018'!$B$5:$B$78,0),MATCH('2.1 Database'!D$3,'1.3 FY2018'!$B$4:$G$4,0))))</f>
        <v>111111</v>
      </c>
      <c r="E4" s="6" t="str">
        <f>_xlfn.IFNA(INDEX('1.1 FY2016'!$B$5:$G$61,MATCH('2.1 Database'!$B4,'1.1 FY2016'!$B$5:$B$61,0),MATCH('2.1 Database'!E$3,'1.1 FY2016'!$B$4:$G$4,0)),_xlfn.IFNA(INDEX('1.2 FY2017'!$B$5:$G$86,MATCH('2.1 Database'!$B4,'1.2 FY2017'!$B$5:$B$86,0),MATCH('2.1 Database'!E$3,'1.2 FY2017'!$B$4:$G$4,0)),INDEX('1.3 FY2018'!$B$5:$G$78,MATCH('2.1 Database'!$B4,'1.3 FY2018'!$B$5:$B$78,0),MATCH('2.1 Database'!E$3,'1.3 FY2018'!$B$4:$G$4,0))))</f>
        <v>External</v>
      </c>
      <c r="F4" s="28">
        <f>-SUMIF('1.1 FY2016'!$B$5:$B$61,'2.1 Database'!$B4,'1.1 FY2016'!$F$5:$F$61)</f>
        <v>14500341</v>
      </c>
      <c r="G4" s="28">
        <f>-SUMIF('1.2 FY2017'!$B$5:$B$86,'2.1 Database'!$B4,'1.2 FY2017'!$F$5:$F$86)</f>
        <v>15792898.75</v>
      </c>
      <c r="H4" s="28">
        <f>-SUMIF('1.3 FY2018'!$B$5:$B$78,'2.1 Database'!$B4,'1.3 FY2018'!$F$5:$F$78)</f>
        <v>14431341</v>
      </c>
      <c r="J4" s="2" t="s">
        <v>225</v>
      </c>
    </row>
    <row r="5" spans="2:10" x14ac:dyDescent="0.25">
      <c r="B5" s="24" t="s">
        <v>117</v>
      </c>
      <c r="C5" s="6" t="str">
        <f>_xlfn.IFNA(INDEX('1.1 FY2016'!$B$5:$G$61,MATCH('2.1 Database'!$B5,'1.1 FY2016'!$B$5:$B$61,0),MATCH('2.1 Database'!C$3,'1.1 FY2016'!$B$4:$G$4,0)),_xlfn.IFNA(INDEX('1.2 FY2017'!$B$5:$G$86,MATCH('2.1 Database'!$B5,'1.2 FY2017'!$B$5:$B$86,0),MATCH('2.1 Database'!C$3,'1.2 FY2017'!$B$4:$G$4,0)),INDEX('1.3 FY2018'!$B$5:$G$78,MATCH('2.1 Database'!$B5,'1.3 FY2018'!$B$5:$B$78,0),MATCH('2.1 Database'!C$3,'1.3 FY2018'!$B$4:$G$4,0))))</f>
        <v>Other revenues</v>
      </c>
      <c r="D5" s="6">
        <f>_xlfn.IFNA(INDEX('1.1 FY2016'!$B$5:$G$61,MATCH('2.1 Database'!$B5,'1.1 FY2016'!$B$5:$B$61,0),MATCH('2.1 Database'!D$3,'1.1 FY2016'!$B$4:$G$4,0)),_xlfn.IFNA(INDEX('1.2 FY2017'!$B$5:$G$86,MATCH('2.1 Database'!$B5,'1.2 FY2017'!$B$5:$B$86,0),MATCH('2.1 Database'!D$3,'1.2 FY2017'!$B$4:$G$4,0)),INDEX('1.3 FY2018'!$B$5:$G$78,MATCH('2.1 Database'!$B5,'1.3 FY2018'!$B$5:$B$78,0),MATCH('2.1 Database'!D$3,'1.3 FY2018'!$B$4:$G$4,0))))</f>
        <v>111111</v>
      </c>
      <c r="E5" s="6" t="str">
        <f>_xlfn.IFNA(INDEX('1.1 FY2016'!$B$5:$G$61,MATCH('2.1 Database'!$B5,'1.1 FY2016'!$B$5:$B$61,0),MATCH('2.1 Database'!E$3,'1.1 FY2016'!$B$4:$G$4,0)),_xlfn.IFNA(INDEX('1.2 FY2017'!$B$5:$G$86,MATCH('2.1 Database'!$B5,'1.2 FY2017'!$B$5:$B$86,0),MATCH('2.1 Database'!E$3,'1.2 FY2017'!$B$4:$G$4,0)),INDEX('1.3 FY2018'!$B$5:$G$78,MATCH('2.1 Database'!$B5,'1.3 FY2018'!$B$5:$B$78,0),MATCH('2.1 Database'!E$3,'1.3 FY2018'!$B$4:$G$4,0))))</f>
        <v>External</v>
      </c>
      <c r="F5" s="28">
        <f>-SUMIF('1.1 FY2016'!$B$5:$B$61,'2.1 Database'!$B5,'1.1 FY2016'!$F$5:$F$61)</f>
        <v>4794856.1919999998</v>
      </c>
      <c r="G5" s="28">
        <f>-SUMIF('1.2 FY2017'!$B$5:$B$86,'2.1 Database'!$B5,'1.2 FY2017'!$F$5:$F$86)</f>
        <v>6960217.6449999996</v>
      </c>
      <c r="H5" s="28">
        <f>-SUMIF('1.3 FY2018'!$B$5:$B$78,'2.1 Database'!$B5,'1.3 FY2018'!$F$5:$F$78)</f>
        <v>6373617.5140000004</v>
      </c>
      <c r="J5" s="2" t="s">
        <v>66</v>
      </c>
    </row>
    <row r="6" spans="2:10" x14ac:dyDescent="0.25">
      <c r="B6" s="24" t="s">
        <v>118</v>
      </c>
      <c r="C6" s="6" t="str">
        <f>_xlfn.IFNA(INDEX('1.1 FY2016'!$B$5:$G$61,MATCH('2.1 Database'!$B6,'1.1 FY2016'!$B$5:$B$61,0),MATCH('2.1 Database'!C$3,'1.1 FY2016'!$B$4:$G$4,0)),_xlfn.IFNA(INDEX('1.2 FY2017'!$B$5:$G$86,MATCH('2.1 Database'!$B6,'1.2 FY2017'!$B$5:$B$86,0),MATCH('2.1 Database'!C$3,'1.2 FY2017'!$B$4:$G$4,0)),INDEX('1.3 FY2018'!$B$5:$G$78,MATCH('2.1 Database'!$B6,'1.3 FY2018'!$B$5:$B$78,0),MATCH('2.1 Database'!C$3,'1.3 FY2018'!$B$4:$G$4,0))))</f>
        <v>Capitalized costs</v>
      </c>
      <c r="D6" s="6">
        <f>_xlfn.IFNA(INDEX('1.1 FY2016'!$B$5:$G$61,MATCH('2.1 Database'!$B6,'1.1 FY2016'!$B$5:$B$61,0),MATCH('2.1 Database'!D$3,'1.1 FY2016'!$B$4:$G$4,0)),_xlfn.IFNA(INDEX('1.2 FY2017'!$B$5:$G$86,MATCH('2.1 Database'!$B6,'1.2 FY2017'!$B$5:$B$86,0),MATCH('2.1 Database'!D$3,'1.2 FY2017'!$B$4:$G$4,0)),INDEX('1.3 FY2018'!$B$5:$G$78,MATCH('2.1 Database'!$B6,'1.3 FY2018'!$B$5:$B$78,0),MATCH('2.1 Database'!D$3,'1.3 FY2018'!$B$4:$G$4,0))))</f>
        <v>1009</v>
      </c>
      <c r="E6" s="6" t="str">
        <f>_xlfn.IFNA(INDEX('1.1 FY2016'!$B$5:$G$61,MATCH('2.1 Database'!$B6,'1.1 FY2016'!$B$5:$B$61,0),MATCH('2.1 Database'!E$3,'1.1 FY2016'!$B$4:$G$4,0)),_xlfn.IFNA(INDEX('1.2 FY2017'!$B$5:$G$86,MATCH('2.1 Database'!$B6,'1.2 FY2017'!$B$5:$B$86,0),MATCH('2.1 Database'!E$3,'1.2 FY2017'!$B$4:$G$4,0)),INDEX('1.3 FY2018'!$B$5:$G$78,MATCH('2.1 Database'!$B6,'1.3 FY2018'!$B$5:$B$78,0),MATCH('2.1 Database'!E$3,'1.3 FY2018'!$B$4:$G$4,0))))</f>
        <v>Green Ventures Ltd</v>
      </c>
      <c r="F6" s="28">
        <f>-SUMIF('1.1 FY2016'!$B$5:$B$61,'2.1 Database'!$B6,'1.1 FY2016'!$F$5:$F$61)</f>
        <v>154890.4</v>
      </c>
      <c r="G6" s="28">
        <f>-SUMIF('1.2 FY2017'!$B$5:$B$86,'2.1 Database'!$B6,'1.2 FY2017'!$F$5:$F$86)</f>
        <v>0</v>
      </c>
      <c r="H6" s="28">
        <f>-SUMIF('1.3 FY2018'!$B$5:$B$78,'2.1 Database'!$B6,'1.3 FY2018'!$F$5:$F$78)</f>
        <v>0</v>
      </c>
      <c r="J6" s="2" t="s">
        <v>67</v>
      </c>
    </row>
    <row r="7" spans="2:10" x14ac:dyDescent="0.25">
      <c r="B7" s="24" t="s">
        <v>119</v>
      </c>
      <c r="C7" s="6" t="str">
        <f>_xlfn.IFNA(INDEX('1.1 FY2016'!$B$5:$G$61,MATCH('2.1 Database'!$B7,'1.1 FY2016'!$B$5:$B$61,0),MATCH('2.1 Database'!C$3,'1.1 FY2016'!$B$4:$G$4,0)),_xlfn.IFNA(INDEX('1.2 FY2017'!$B$5:$G$86,MATCH('2.1 Database'!$B7,'1.2 FY2017'!$B$5:$B$86,0),MATCH('2.1 Database'!C$3,'1.2 FY2017'!$B$4:$G$4,0)),INDEX('1.3 FY2018'!$B$5:$G$78,MATCH('2.1 Database'!$B7,'1.3 FY2018'!$B$5:$B$78,0),MATCH('2.1 Database'!C$3,'1.3 FY2018'!$B$4:$G$4,0))))</f>
        <v>Capitalized costs</v>
      </c>
      <c r="D7" s="6">
        <f>_xlfn.IFNA(INDEX('1.1 FY2016'!$B$5:$G$61,MATCH('2.1 Database'!$B7,'1.1 FY2016'!$B$5:$B$61,0),MATCH('2.1 Database'!D$3,'1.1 FY2016'!$B$4:$G$4,0)),_xlfn.IFNA(INDEX('1.2 FY2017'!$B$5:$G$86,MATCH('2.1 Database'!$B7,'1.2 FY2017'!$B$5:$B$86,0),MATCH('2.1 Database'!D$3,'1.2 FY2017'!$B$4:$G$4,0)),INDEX('1.3 FY2018'!$B$5:$G$78,MATCH('2.1 Database'!$B7,'1.3 FY2018'!$B$5:$B$78,0),MATCH('2.1 Database'!D$3,'1.3 FY2018'!$B$4:$G$4,0))))</f>
        <v>1007</v>
      </c>
      <c r="E7" s="6" t="str">
        <f>_xlfn.IFNA(INDEX('1.1 FY2016'!$B$5:$G$61,MATCH('2.1 Database'!$B7,'1.1 FY2016'!$B$5:$B$61,0),MATCH('2.1 Database'!E$3,'1.1 FY2016'!$B$4:$G$4,0)),_xlfn.IFNA(INDEX('1.2 FY2017'!$B$5:$G$86,MATCH('2.1 Database'!$B7,'1.2 FY2017'!$B$5:$B$86,0),MATCH('2.1 Database'!E$3,'1.2 FY2017'!$B$4:$G$4,0)),INDEX('1.3 FY2018'!$B$5:$G$78,MATCH('2.1 Database'!$B7,'1.3 FY2018'!$B$5:$B$78,0),MATCH('2.1 Database'!E$3,'1.3 FY2018'!$B$4:$G$4,0))))</f>
        <v>Generco Sunshine JSC</v>
      </c>
      <c r="F7" s="28">
        <f>-SUMIF('1.1 FY2016'!$B$5:$B$61,'2.1 Database'!$B7,'1.1 FY2016'!$F$5:$F$61)</f>
        <v>1180894.0520000001</v>
      </c>
      <c r="G7" s="28">
        <f>-SUMIF('1.2 FY2017'!$B$5:$B$86,'2.1 Database'!$B7,'1.2 FY2017'!$F$5:$F$86)</f>
        <v>89234.880000000005</v>
      </c>
      <c r="H7" s="28">
        <f>-SUMIF('1.3 FY2018'!$B$5:$B$78,'2.1 Database'!$B7,'1.3 FY2018'!$F$5:$F$78)</f>
        <v>0</v>
      </c>
      <c r="J7" s="2" t="s">
        <v>67</v>
      </c>
    </row>
    <row r="8" spans="2:10" x14ac:dyDescent="0.25">
      <c r="B8" s="24" t="s">
        <v>120</v>
      </c>
      <c r="C8" s="6" t="str">
        <f>_xlfn.IFNA(INDEX('1.1 FY2016'!$B$5:$G$61,MATCH('2.1 Database'!$B8,'1.1 FY2016'!$B$5:$B$61,0),MATCH('2.1 Database'!C$3,'1.1 FY2016'!$B$4:$G$4,0)),_xlfn.IFNA(INDEX('1.2 FY2017'!$B$5:$G$86,MATCH('2.1 Database'!$B8,'1.2 FY2017'!$B$5:$B$86,0),MATCH('2.1 Database'!C$3,'1.2 FY2017'!$B$4:$G$4,0)),INDEX('1.3 FY2018'!$B$5:$G$78,MATCH('2.1 Database'!$B8,'1.3 FY2018'!$B$5:$B$78,0),MATCH('2.1 Database'!C$3,'1.3 FY2018'!$B$4:$G$4,0))))</f>
        <v>Capitalized costs</v>
      </c>
      <c r="D8" s="6">
        <f>_xlfn.IFNA(INDEX('1.1 FY2016'!$B$5:$G$61,MATCH('2.1 Database'!$B8,'1.1 FY2016'!$B$5:$B$61,0),MATCH('2.1 Database'!D$3,'1.1 FY2016'!$B$4:$G$4,0)),_xlfn.IFNA(INDEX('1.2 FY2017'!$B$5:$G$86,MATCH('2.1 Database'!$B8,'1.2 FY2017'!$B$5:$B$86,0),MATCH('2.1 Database'!D$3,'1.2 FY2017'!$B$4:$G$4,0)),INDEX('1.3 FY2018'!$B$5:$G$78,MATCH('2.1 Database'!$B8,'1.3 FY2018'!$B$5:$B$78,0),MATCH('2.1 Database'!D$3,'1.3 FY2018'!$B$4:$G$4,0))))</f>
        <v>1008</v>
      </c>
      <c r="E8" s="6" t="str">
        <f>_xlfn.IFNA(INDEX('1.1 FY2016'!$B$5:$G$61,MATCH('2.1 Database'!$B8,'1.1 FY2016'!$B$5:$B$61,0),MATCH('2.1 Database'!E$3,'1.1 FY2016'!$B$4:$G$4,0)),_xlfn.IFNA(INDEX('1.2 FY2017'!$B$5:$G$86,MATCH('2.1 Database'!$B8,'1.2 FY2017'!$B$5:$B$86,0),MATCH('2.1 Database'!E$3,'1.2 FY2017'!$B$4:$G$4,0)),INDEX('1.3 FY2018'!$B$5:$G$78,MATCH('2.1 Database'!$B8,'1.3 FY2018'!$B$5:$B$78,0),MATCH('2.1 Database'!E$3,'1.3 FY2018'!$B$4:$G$4,0))))</f>
        <v>Greenco Ltd</v>
      </c>
      <c r="F8" s="28">
        <f>-SUMIF('1.1 FY2016'!$B$5:$B$61,'2.1 Database'!$B8,'1.1 FY2016'!$F$5:$F$61)</f>
        <v>793079.51199999999</v>
      </c>
      <c r="G8" s="28">
        <f>-SUMIF('1.2 FY2017'!$B$5:$B$86,'2.1 Database'!$B8,'1.2 FY2017'!$F$5:$F$86)</f>
        <v>26173</v>
      </c>
      <c r="H8" s="28">
        <f>-SUMIF('1.3 FY2018'!$B$5:$B$78,'2.1 Database'!$B8,'1.3 FY2018'!$F$5:$F$78)</f>
        <v>0</v>
      </c>
      <c r="J8" s="2" t="s">
        <v>67</v>
      </c>
    </row>
    <row r="9" spans="2:10" x14ac:dyDescent="0.25">
      <c r="B9" s="24" t="s">
        <v>121</v>
      </c>
      <c r="C9" s="6" t="str">
        <f>_xlfn.IFNA(INDEX('1.1 FY2016'!$B$5:$G$61,MATCH('2.1 Database'!$B9,'1.1 FY2016'!$B$5:$B$61,0),MATCH('2.1 Database'!C$3,'1.1 FY2016'!$B$4:$G$4,0)),_xlfn.IFNA(INDEX('1.2 FY2017'!$B$5:$G$86,MATCH('2.1 Database'!$B9,'1.2 FY2017'!$B$5:$B$86,0),MATCH('2.1 Database'!C$3,'1.2 FY2017'!$B$4:$G$4,0)),INDEX('1.3 FY2018'!$B$5:$G$78,MATCH('2.1 Database'!$B9,'1.3 FY2018'!$B$5:$B$78,0),MATCH('2.1 Database'!C$3,'1.3 FY2018'!$B$4:$G$4,0))))</f>
        <v>Capitalized costs</v>
      </c>
      <c r="D9" s="6">
        <f>_xlfn.IFNA(INDEX('1.1 FY2016'!$B$5:$G$61,MATCH('2.1 Database'!$B9,'1.1 FY2016'!$B$5:$B$61,0),MATCH('2.1 Database'!D$3,'1.1 FY2016'!$B$4:$G$4,0)),_xlfn.IFNA(INDEX('1.2 FY2017'!$B$5:$G$86,MATCH('2.1 Database'!$B9,'1.2 FY2017'!$B$5:$B$86,0),MATCH('2.1 Database'!D$3,'1.2 FY2017'!$B$4:$G$4,0)),INDEX('1.3 FY2018'!$B$5:$G$78,MATCH('2.1 Database'!$B9,'1.3 FY2018'!$B$5:$B$78,0),MATCH('2.1 Database'!D$3,'1.3 FY2018'!$B$4:$G$4,0))))</f>
        <v>111101</v>
      </c>
      <c r="E9" s="6" t="str">
        <f>_xlfn.IFNA(INDEX('1.1 FY2016'!$B$5:$G$61,MATCH('2.1 Database'!$B9,'1.1 FY2016'!$B$5:$B$61,0),MATCH('2.1 Database'!E$3,'1.1 FY2016'!$B$4:$G$4,0)),_xlfn.IFNA(INDEX('1.2 FY2017'!$B$5:$G$86,MATCH('2.1 Database'!$B9,'1.2 FY2017'!$B$5:$B$86,0),MATCH('2.1 Database'!E$3,'1.2 FY2017'!$B$4:$G$4,0)),INDEX('1.3 FY2018'!$B$5:$G$78,MATCH('2.1 Database'!$B9,'1.3 FY2018'!$B$5:$B$78,0),MATCH('2.1 Database'!E$3,'1.3 FY2018'!$B$4:$G$4,0))))</f>
        <v>Not assigned</v>
      </c>
      <c r="F9" s="28">
        <f>-SUMIF('1.1 FY2016'!$B$5:$B$61,'2.1 Database'!$B9,'1.1 FY2016'!$F$5:$F$61)</f>
        <v>2277197.6</v>
      </c>
      <c r="G9" s="28">
        <f>-SUMIF('1.2 FY2017'!$B$5:$B$86,'2.1 Database'!$B9,'1.2 FY2017'!$F$5:$F$86)</f>
        <v>209401.92</v>
      </c>
      <c r="H9" s="28">
        <f>-SUMIF('1.3 FY2018'!$B$5:$B$78,'2.1 Database'!$B9,'1.3 FY2018'!$F$5:$F$78)</f>
        <v>0</v>
      </c>
      <c r="J9" s="2" t="s">
        <v>67</v>
      </c>
    </row>
    <row r="10" spans="2:10" x14ac:dyDescent="0.25">
      <c r="B10" s="24" t="s">
        <v>122</v>
      </c>
      <c r="C10" s="6" t="str">
        <f>_xlfn.IFNA(INDEX('1.1 FY2016'!$B$5:$G$61,MATCH('2.1 Database'!$B10,'1.1 FY2016'!$B$5:$B$61,0),MATCH('2.1 Database'!C$3,'1.1 FY2016'!$B$4:$G$4,0)),_xlfn.IFNA(INDEX('1.2 FY2017'!$B$5:$G$86,MATCH('2.1 Database'!$B10,'1.2 FY2017'!$B$5:$B$86,0),MATCH('2.1 Database'!C$3,'1.2 FY2017'!$B$4:$G$4,0)),INDEX('1.3 FY2018'!$B$5:$G$78,MATCH('2.1 Database'!$B10,'1.3 FY2018'!$B$5:$B$78,0),MATCH('2.1 Database'!C$3,'1.3 FY2018'!$B$4:$G$4,0))))</f>
        <v>Direct costs</v>
      </c>
      <c r="D10" s="6">
        <f>_xlfn.IFNA(INDEX('1.1 FY2016'!$B$5:$G$61,MATCH('2.1 Database'!$B10,'1.1 FY2016'!$B$5:$B$61,0),MATCH('2.1 Database'!D$3,'1.1 FY2016'!$B$4:$G$4,0)),_xlfn.IFNA(INDEX('1.2 FY2017'!$B$5:$G$86,MATCH('2.1 Database'!$B10,'1.2 FY2017'!$B$5:$B$86,0),MATCH('2.1 Database'!D$3,'1.2 FY2017'!$B$4:$G$4,0)),INDEX('1.3 FY2018'!$B$5:$G$78,MATCH('2.1 Database'!$B10,'1.3 FY2018'!$B$5:$B$78,0),MATCH('2.1 Database'!D$3,'1.3 FY2018'!$B$4:$G$4,0))))</f>
        <v>111111</v>
      </c>
      <c r="E10" s="6" t="str">
        <f>_xlfn.IFNA(INDEX('1.1 FY2016'!$B$5:$G$61,MATCH('2.1 Database'!$B10,'1.1 FY2016'!$B$5:$B$61,0),MATCH('2.1 Database'!E$3,'1.1 FY2016'!$B$4:$G$4,0)),_xlfn.IFNA(INDEX('1.2 FY2017'!$B$5:$G$86,MATCH('2.1 Database'!$B10,'1.2 FY2017'!$B$5:$B$86,0),MATCH('2.1 Database'!E$3,'1.2 FY2017'!$B$4:$G$4,0)),INDEX('1.3 FY2018'!$B$5:$G$78,MATCH('2.1 Database'!$B10,'1.3 FY2018'!$B$5:$B$78,0),MATCH('2.1 Database'!E$3,'1.3 FY2018'!$B$4:$G$4,0))))</f>
        <v>External</v>
      </c>
      <c r="F10" s="28">
        <f>-SUMIF('1.1 FY2016'!$B$5:$B$61,'2.1 Database'!$B10,'1.1 FY2016'!$F$5:$F$61)</f>
        <v>-4428911.7640000004</v>
      </c>
      <c r="G10" s="28">
        <f>-SUMIF('1.2 FY2017'!$B$5:$B$86,'2.1 Database'!$B10,'1.2 FY2017'!$F$5:$F$86)</f>
        <v>-5463188.8250000002</v>
      </c>
      <c r="H10" s="28">
        <f>-SUMIF('1.3 FY2018'!$B$5:$B$78,'2.1 Database'!$B10,'1.3 FY2018'!$F$5:$F$78)</f>
        <v>-5674152.0669999998</v>
      </c>
      <c r="J10" s="2" t="s">
        <v>104</v>
      </c>
    </row>
    <row r="11" spans="2:10" x14ac:dyDescent="0.25">
      <c r="B11" s="24" t="s">
        <v>123</v>
      </c>
      <c r="C11" s="6" t="str">
        <f>_xlfn.IFNA(INDEX('1.1 FY2016'!$B$5:$G$61,MATCH('2.1 Database'!$B11,'1.1 FY2016'!$B$5:$B$61,0),MATCH('2.1 Database'!C$3,'1.1 FY2016'!$B$4:$G$4,0)),_xlfn.IFNA(INDEX('1.2 FY2017'!$B$5:$G$86,MATCH('2.1 Database'!$B11,'1.2 FY2017'!$B$5:$B$86,0),MATCH('2.1 Database'!C$3,'1.2 FY2017'!$B$4:$G$4,0)),INDEX('1.3 FY2018'!$B$5:$G$78,MATCH('2.1 Database'!$B11,'1.3 FY2018'!$B$5:$B$78,0),MATCH('2.1 Database'!C$3,'1.3 FY2018'!$B$4:$G$4,0))))</f>
        <v>Freight outbound expenses</v>
      </c>
      <c r="D11" s="6">
        <f>_xlfn.IFNA(INDEX('1.1 FY2016'!$B$5:$G$61,MATCH('2.1 Database'!$B11,'1.1 FY2016'!$B$5:$B$61,0),MATCH('2.1 Database'!D$3,'1.1 FY2016'!$B$4:$G$4,0)),_xlfn.IFNA(INDEX('1.2 FY2017'!$B$5:$G$86,MATCH('2.1 Database'!$B11,'1.2 FY2017'!$B$5:$B$86,0),MATCH('2.1 Database'!D$3,'1.2 FY2017'!$B$4:$G$4,0)),INDEX('1.3 FY2018'!$B$5:$G$78,MATCH('2.1 Database'!$B11,'1.3 FY2018'!$B$5:$B$78,0),MATCH('2.1 Database'!D$3,'1.3 FY2018'!$B$4:$G$4,0))))</f>
        <v>111111</v>
      </c>
      <c r="E11" s="6" t="str">
        <f>_xlfn.IFNA(INDEX('1.1 FY2016'!$B$5:$G$61,MATCH('2.1 Database'!$B11,'1.1 FY2016'!$B$5:$B$61,0),MATCH('2.1 Database'!E$3,'1.1 FY2016'!$B$4:$G$4,0)),_xlfn.IFNA(INDEX('1.2 FY2017'!$B$5:$G$86,MATCH('2.1 Database'!$B11,'1.2 FY2017'!$B$5:$B$86,0),MATCH('2.1 Database'!E$3,'1.2 FY2017'!$B$4:$G$4,0)),INDEX('1.3 FY2018'!$B$5:$G$78,MATCH('2.1 Database'!$B11,'1.3 FY2018'!$B$5:$B$78,0),MATCH('2.1 Database'!E$3,'1.3 FY2018'!$B$4:$G$4,0))))</f>
        <v>External</v>
      </c>
      <c r="F11" s="28">
        <f>-SUMIF('1.1 FY2016'!$B$5:$B$61,'2.1 Database'!$B11,'1.1 FY2016'!$F$5:$F$61)</f>
        <v>-16977.628000000001</v>
      </c>
      <c r="G11" s="28">
        <f>-SUMIF('1.2 FY2017'!$B$5:$B$86,'2.1 Database'!$B11,'1.2 FY2017'!$F$5:$F$86)</f>
        <v>-343675</v>
      </c>
      <c r="H11" s="28">
        <f>-SUMIF('1.3 FY2018'!$B$5:$B$78,'2.1 Database'!$B11,'1.3 FY2018'!$F$5:$F$78)</f>
        <v>-350370.99399999995</v>
      </c>
      <c r="J11" s="2" t="s">
        <v>226</v>
      </c>
    </row>
    <row r="12" spans="2:10" x14ac:dyDescent="0.25">
      <c r="B12" s="24" t="s">
        <v>124</v>
      </c>
      <c r="C12" s="6" t="str">
        <f>_xlfn.IFNA(INDEX('1.1 FY2016'!$B$5:$G$61,MATCH('2.1 Database'!$B12,'1.1 FY2016'!$B$5:$B$61,0),MATCH('2.1 Database'!C$3,'1.1 FY2016'!$B$4:$G$4,0)),_xlfn.IFNA(INDEX('1.2 FY2017'!$B$5:$G$86,MATCH('2.1 Database'!$B12,'1.2 FY2017'!$B$5:$B$86,0),MATCH('2.1 Database'!C$3,'1.2 FY2017'!$B$4:$G$4,0)),INDEX('1.3 FY2018'!$B$5:$G$78,MATCH('2.1 Database'!$B12,'1.3 FY2018'!$B$5:$B$78,0),MATCH('2.1 Database'!C$3,'1.3 FY2018'!$B$4:$G$4,0))))</f>
        <v>R&amp;D expenses</v>
      </c>
      <c r="D12" s="6">
        <f>_xlfn.IFNA(INDEX('1.1 FY2016'!$B$5:$G$61,MATCH('2.1 Database'!$B12,'1.1 FY2016'!$B$5:$B$61,0),MATCH('2.1 Database'!D$3,'1.1 FY2016'!$B$4:$G$4,0)),_xlfn.IFNA(INDEX('1.2 FY2017'!$B$5:$G$86,MATCH('2.1 Database'!$B12,'1.2 FY2017'!$B$5:$B$86,0),MATCH('2.1 Database'!D$3,'1.2 FY2017'!$B$4:$G$4,0)),INDEX('1.3 FY2018'!$B$5:$G$78,MATCH('2.1 Database'!$B12,'1.3 FY2018'!$B$5:$B$78,0),MATCH('2.1 Database'!D$3,'1.3 FY2018'!$B$4:$G$4,0))))</f>
        <v>88</v>
      </c>
      <c r="E12" s="6" t="str">
        <f>_xlfn.IFNA(INDEX('1.1 FY2016'!$B$5:$G$61,MATCH('2.1 Database'!$B12,'1.1 FY2016'!$B$5:$B$61,0),MATCH('2.1 Database'!E$3,'1.1 FY2016'!$B$4:$G$4,0)),_xlfn.IFNA(INDEX('1.2 FY2017'!$B$5:$G$86,MATCH('2.1 Database'!$B12,'1.2 FY2017'!$B$5:$B$86,0),MATCH('2.1 Database'!E$3,'1.2 FY2017'!$B$4:$G$4,0)),INDEX('1.3 FY2018'!$B$5:$G$78,MATCH('2.1 Database'!$B12,'1.3 FY2018'!$B$5:$B$78,0),MATCH('2.1 Database'!E$3,'1.3 FY2018'!$B$4:$G$4,0))))</f>
        <v>Generco Ltd</v>
      </c>
      <c r="F12" s="28">
        <f>-SUMIF('1.1 FY2016'!$B$5:$B$61,'2.1 Database'!$B12,'1.1 FY2016'!$F$5:$F$61)</f>
        <v>-2245437.54</v>
      </c>
      <c r="G12" s="28">
        <f>-SUMIF('1.2 FY2017'!$B$5:$B$86,'2.1 Database'!$B12,'1.2 FY2017'!$F$5:$F$86)</f>
        <v>-1980162.23</v>
      </c>
      <c r="H12" s="28">
        <f>-SUMIF('1.3 FY2018'!$B$5:$B$78,'2.1 Database'!$B12,'1.3 FY2018'!$F$5:$F$78)</f>
        <v>-3116017.1540000001</v>
      </c>
      <c r="J12" s="2" t="s">
        <v>226</v>
      </c>
    </row>
    <row r="13" spans="2:10" x14ac:dyDescent="0.25">
      <c r="B13" s="24" t="s">
        <v>125</v>
      </c>
      <c r="C13" s="6" t="str">
        <f>_xlfn.IFNA(INDEX('1.1 FY2016'!$B$5:$G$61,MATCH('2.1 Database'!$B13,'1.1 FY2016'!$B$5:$B$61,0),MATCH('2.1 Database'!C$3,'1.1 FY2016'!$B$4:$G$4,0)),_xlfn.IFNA(INDEX('1.2 FY2017'!$B$5:$G$86,MATCH('2.1 Database'!$B13,'1.2 FY2017'!$B$5:$B$86,0),MATCH('2.1 Database'!C$3,'1.2 FY2017'!$B$4:$G$4,0)),INDEX('1.3 FY2018'!$B$5:$G$78,MATCH('2.1 Database'!$B13,'1.3 FY2018'!$B$5:$B$78,0),MATCH('2.1 Database'!C$3,'1.3 FY2018'!$B$4:$G$4,0))))</f>
        <v>R&amp;D expenses</v>
      </c>
      <c r="D13" s="6">
        <f>_xlfn.IFNA(INDEX('1.1 FY2016'!$B$5:$G$61,MATCH('2.1 Database'!$B13,'1.1 FY2016'!$B$5:$B$61,0),MATCH('2.1 Database'!D$3,'1.1 FY2016'!$B$4:$G$4,0)),_xlfn.IFNA(INDEX('1.2 FY2017'!$B$5:$G$86,MATCH('2.1 Database'!$B13,'1.2 FY2017'!$B$5:$B$86,0),MATCH('2.1 Database'!D$3,'1.2 FY2017'!$B$4:$G$4,0)),INDEX('1.3 FY2018'!$B$5:$G$78,MATCH('2.1 Database'!$B13,'1.3 FY2018'!$B$5:$B$78,0),MATCH('2.1 Database'!D$3,'1.3 FY2018'!$B$4:$G$4,0))))</f>
        <v>111111</v>
      </c>
      <c r="E13" s="6" t="str">
        <f>_xlfn.IFNA(INDEX('1.1 FY2016'!$B$5:$G$61,MATCH('2.1 Database'!$B13,'1.1 FY2016'!$B$5:$B$61,0),MATCH('2.1 Database'!E$3,'1.1 FY2016'!$B$4:$G$4,0)),_xlfn.IFNA(INDEX('1.2 FY2017'!$B$5:$G$86,MATCH('2.1 Database'!$B13,'1.2 FY2017'!$B$5:$B$86,0),MATCH('2.1 Database'!E$3,'1.2 FY2017'!$B$4:$G$4,0)),INDEX('1.3 FY2018'!$B$5:$G$78,MATCH('2.1 Database'!$B13,'1.3 FY2018'!$B$5:$B$78,0),MATCH('2.1 Database'!E$3,'1.3 FY2018'!$B$4:$G$4,0))))</f>
        <v>External</v>
      </c>
      <c r="F13" s="28">
        <f>-SUMIF('1.1 FY2016'!$B$5:$B$61,'2.1 Database'!$B13,'1.1 FY2016'!$F$5:$F$61)</f>
        <v>-16605.634000000002</v>
      </c>
      <c r="G13" s="28">
        <f>-SUMIF('1.2 FY2017'!$B$5:$B$86,'2.1 Database'!$B13,'1.2 FY2017'!$F$5:$F$86)</f>
        <v>-27148.625</v>
      </c>
      <c r="H13" s="28">
        <f>-SUMIF('1.3 FY2018'!$B$5:$B$78,'2.1 Database'!$B13,'1.3 FY2018'!$F$5:$F$78)</f>
        <v>-9783.7069999999985</v>
      </c>
      <c r="J13" s="2" t="s">
        <v>226</v>
      </c>
    </row>
    <row r="14" spans="2:10" x14ac:dyDescent="0.25">
      <c r="B14" s="24" t="s">
        <v>126</v>
      </c>
      <c r="C14" s="6" t="str">
        <f>_xlfn.IFNA(INDEX('1.1 FY2016'!$B$5:$G$61,MATCH('2.1 Database'!$B14,'1.1 FY2016'!$B$5:$B$61,0),MATCH('2.1 Database'!C$3,'1.1 FY2016'!$B$4:$G$4,0)),_xlfn.IFNA(INDEX('1.2 FY2017'!$B$5:$G$86,MATCH('2.1 Database'!$B14,'1.2 FY2017'!$B$5:$B$86,0),MATCH('2.1 Database'!C$3,'1.2 FY2017'!$B$4:$G$4,0)),INDEX('1.3 FY2018'!$B$5:$G$78,MATCH('2.1 Database'!$B14,'1.3 FY2018'!$B$5:$B$78,0),MATCH('2.1 Database'!C$3,'1.3 FY2018'!$B$4:$G$4,0))))</f>
        <v>Wages and salaries</v>
      </c>
      <c r="D14" s="6">
        <f>_xlfn.IFNA(INDEX('1.1 FY2016'!$B$5:$G$61,MATCH('2.1 Database'!$B14,'1.1 FY2016'!$B$5:$B$61,0),MATCH('2.1 Database'!D$3,'1.1 FY2016'!$B$4:$G$4,0)),_xlfn.IFNA(INDEX('1.2 FY2017'!$B$5:$G$86,MATCH('2.1 Database'!$B14,'1.2 FY2017'!$B$5:$B$86,0),MATCH('2.1 Database'!D$3,'1.2 FY2017'!$B$4:$G$4,0)),INDEX('1.3 FY2018'!$B$5:$G$78,MATCH('2.1 Database'!$B14,'1.3 FY2018'!$B$5:$B$78,0),MATCH('2.1 Database'!D$3,'1.3 FY2018'!$B$4:$G$4,0))))</f>
        <v>111111</v>
      </c>
      <c r="E14" s="6" t="str">
        <f>_xlfn.IFNA(INDEX('1.1 FY2016'!$B$5:$G$61,MATCH('2.1 Database'!$B14,'1.1 FY2016'!$B$5:$B$61,0),MATCH('2.1 Database'!E$3,'1.1 FY2016'!$B$4:$G$4,0)),_xlfn.IFNA(INDEX('1.2 FY2017'!$B$5:$G$86,MATCH('2.1 Database'!$B14,'1.2 FY2017'!$B$5:$B$86,0),MATCH('2.1 Database'!E$3,'1.2 FY2017'!$B$4:$G$4,0)),INDEX('1.3 FY2018'!$B$5:$G$78,MATCH('2.1 Database'!$B14,'1.3 FY2018'!$B$5:$B$78,0),MATCH('2.1 Database'!E$3,'1.3 FY2018'!$B$4:$G$4,0))))</f>
        <v>External</v>
      </c>
      <c r="F14" s="28">
        <f>-SUMIF('1.1 FY2016'!$B$5:$B$61,'2.1 Database'!$B14,'1.1 FY2016'!$F$5:$F$61)</f>
        <v>-4683394.0460000001</v>
      </c>
      <c r="G14" s="28">
        <f>-SUMIF('1.2 FY2017'!$B$5:$B$86,'2.1 Database'!$B14,'1.2 FY2017'!$F$5:$F$86)</f>
        <v>-5507141.0549999997</v>
      </c>
      <c r="H14" s="28">
        <f>-SUMIF('1.3 FY2018'!$B$5:$B$78,'2.1 Database'!$B14,'1.3 FY2018'!$F$5:$F$78)</f>
        <v>-3982699.5329999998</v>
      </c>
      <c r="J14" s="2" t="s">
        <v>227</v>
      </c>
    </row>
    <row r="15" spans="2:10" x14ac:dyDescent="0.25">
      <c r="B15" s="24" t="s">
        <v>127</v>
      </c>
      <c r="C15" s="6" t="str">
        <f>_xlfn.IFNA(INDEX('1.1 FY2016'!$B$5:$G$61,MATCH('2.1 Database'!$B15,'1.1 FY2016'!$B$5:$B$61,0),MATCH('2.1 Database'!C$3,'1.1 FY2016'!$B$4:$G$4,0)),_xlfn.IFNA(INDEX('1.2 FY2017'!$B$5:$G$86,MATCH('2.1 Database'!$B15,'1.2 FY2017'!$B$5:$B$86,0),MATCH('2.1 Database'!C$3,'1.2 FY2017'!$B$4:$G$4,0)),INDEX('1.3 FY2018'!$B$5:$G$78,MATCH('2.1 Database'!$B15,'1.3 FY2018'!$B$5:$B$78,0),MATCH('2.1 Database'!C$3,'1.3 FY2018'!$B$4:$G$4,0))))</f>
        <v>Pension contributions</v>
      </c>
      <c r="D15" s="6">
        <f>_xlfn.IFNA(INDEX('1.1 FY2016'!$B$5:$G$61,MATCH('2.1 Database'!$B15,'1.1 FY2016'!$B$5:$B$61,0),MATCH('2.1 Database'!D$3,'1.1 FY2016'!$B$4:$G$4,0)),_xlfn.IFNA(INDEX('1.2 FY2017'!$B$5:$G$86,MATCH('2.1 Database'!$B15,'1.2 FY2017'!$B$5:$B$86,0),MATCH('2.1 Database'!D$3,'1.2 FY2017'!$B$4:$G$4,0)),INDEX('1.3 FY2018'!$B$5:$G$78,MATCH('2.1 Database'!$B15,'1.3 FY2018'!$B$5:$B$78,0),MATCH('2.1 Database'!D$3,'1.3 FY2018'!$B$4:$G$4,0))))</f>
        <v>111101</v>
      </c>
      <c r="E15" s="6" t="str">
        <f>_xlfn.IFNA(INDEX('1.1 FY2016'!$B$5:$G$61,MATCH('2.1 Database'!$B15,'1.1 FY2016'!$B$5:$B$61,0),MATCH('2.1 Database'!E$3,'1.1 FY2016'!$B$4:$G$4,0)),_xlfn.IFNA(INDEX('1.2 FY2017'!$B$5:$G$86,MATCH('2.1 Database'!$B15,'1.2 FY2017'!$B$5:$B$86,0),MATCH('2.1 Database'!E$3,'1.2 FY2017'!$B$4:$G$4,0)),INDEX('1.3 FY2018'!$B$5:$G$78,MATCH('2.1 Database'!$B15,'1.3 FY2018'!$B$5:$B$78,0),MATCH('2.1 Database'!E$3,'1.3 FY2018'!$B$4:$G$4,0))))</f>
        <v>Not assigned</v>
      </c>
      <c r="F15" s="28">
        <f>-SUMIF('1.1 FY2016'!$B$5:$B$61,'2.1 Database'!$B15,'1.1 FY2016'!$F$5:$F$61)</f>
        <v>-1143051.5760000001</v>
      </c>
      <c r="G15" s="28">
        <f>-SUMIF('1.2 FY2017'!$B$5:$B$86,'2.1 Database'!$B15,'1.2 FY2017'!$F$5:$F$86)</f>
        <v>-2057298.04</v>
      </c>
      <c r="H15" s="28">
        <f>-SUMIF('1.3 FY2018'!$B$5:$B$78,'2.1 Database'!$B15,'1.3 FY2018'!$F$5:$F$78)</f>
        <v>-1709688.6429999997</v>
      </c>
      <c r="J15" s="2" t="s">
        <v>227</v>
      </c>
    </row>
    <row r="16" spans="2:10" x14ac:dyDescent="0.25">
      <c r="B16" s="24" t="s">
        <v>128</v>
      </c>
      <c r="C16" s="6" t="str">
        <f>_xlfn.IFNA(INDEX('1.1 FY2016'!$B$5:$G$61,MATCH('2.1 Database'!$B16,'1.1 FY2016'!$B$5:$B$61,0),MATCH('2.1 Database'!C$3,'1.1 FY2016'!$B$4:$G$4,0)),_xlfn.IFNA(INDEX('1.2 FY2017'!$B$5:$G$86,MATCH('2.1 Database'!$B16,'1.2 FY2017'!$B$5:$B$86,0),MATCH('2.1 Database'!C$3,'1.2 FY2017'!$B$4:$G$4,0)),INDEX('1.3 FY2018'!$B$5:$G$78,MATCH('2.1 Database'!$B16,'1.3 FY2018'!$B$5:$B$78,0),MATCH('2.1 Database'!C$3,'1.3 FY2018'!$B$4:$G$4,0))))</f>
        <v>Pension contributions</v>
      </c>
      <c r="D16" s="6">
        <f>_xlfn.IFNA(INDEX('1.1 FY2016'!$B$5:$G$61,MATCH('2.1 Database'!$B16,'1.1 FY2016'!$B$5:$B$61,0),MATCH('2.1 Database'!D$3,'1.1 FY2016'!$B$4:$G$4,0)),_xlfn.IFNA(INDEX('1.2 FY2017'!$B$5:$G$86,MATCH('2.1 Database'!$B16,'1.2 FY2017'!$B$5:$B$86,0),MATCH('2.1 Database'!D$3,'1.2 FY2017'!$B$4:$G$4,0)),INDEX('1.3 FY2018'!$B$5:$G$78,MATCH('2.1 Database'!$B16,'1.3 FY2018'!$B$5:$B$78,0),MATCH('2.1 Database'!D$3,'1.3 FY2018'!$B$4:$G$4,0))))</f>
        <v>88</v>
      </c>
      <c r="E16" s="6" t="str">
        <f>_xlfn.IFNA(INDEX('1.1 FY2016'!$B$5:$G$61,MATCH('2.1 Database'!$B16,'1.1 FY2016'!$B$5:$B$61,0),MATCH('2.1 Database'!E$3,'1.1 FY2016'!$B$4:$G$4,0)),_xlfn.IFNA(INDEX('1.2 FY2017'!$B$5:$G$86,MATCH('2.1 Database'!$B16,'1.2 FY2017'!$B$5:$B$86,0),MATCH('2.1 Database'!E$3,'1.2 FY2017'!$B$4:$G$4,0)),INDEX('1.3 FY2018'!$B$5:$G$78,MATCH('2.1 Database'!$B16,'1.3 FY2018'!$B$5:$B$78,0),MATCH('2.1 Database'!E$3,'1.3 FY2018'!$B$4:$G$4,0))))</f>
        <v>Generco Ltd</v>
      </c>
      <c r="F16" s="28">
        <f>-SUMIF('1.1 FY2016'!$B$5:$B$61,'2.1 Database'!$B16,'1.1 FY2016'!$F$5:$F$61)</f>
        <v>-239379.61800000002</v>
      </c>
      <c r="G16" s="28">
        <f>-SUMIF('1.2 FY2017'!$B$5:$B$86,'2.1 Database'!$B16,'1.2 FY2017'!$F$5:$F$86)</f>
        <v>0</v>
      </c>
      <c r="H16" s="28">
        <f>-SUMIF('1.3 FY2018'!$B$5:$B$78,'2.1 Database'!$B16,'1.3 FY2018'!$F$5:$F$78)</f>
        <v>0</v>
      </c>
      <c r="J16" s="2" t="s">
        <v>227</v>
      </c>
    </row>
    <row r="17" spans="2:10" x14ac:dyDescent="0.25">
      <c r="B17" s="24" t="s">
        <v>129</v>
      </c>
      <c r="C17" s="6" t="str">
        <f>_xlfn.IFNA(INDEX('1.1 FY2016'!$B$5:$G$61,MATCH('2.1 Database'!$B17,'1.1 FY2016'!$B$5:$B$61,0),MATCH('2.1 Database'!C$3,'1.1 FY2016'!$B$4:$G$4,0)),_xlfn.IFNA(INDEX('1.2 FY2017'!$B$5:$G$86,MATCH('2.1 Database'!$B17,'1.2 FY2017'!$B$5:$B$86,0),MATCH('2.1 Database'!C$3,'1.2 FY2017'!$B$4:$G$4,0)),INDEX('1.3 FY2018'!$B$5:$G$78,MATCH('2.1 Database'!$B17,'1.3 FY2018'!$B$5:$B$78,0),MATCH('2.1 Database'!C$3,'1.3 FY2018'!$B$4:$G$4,0))))</f>
        <v>Severance indemnity contribution</v>
      </c>
      <c r="D17" s="6">
        <f>_xlfn.IFNA(INDEX('1.1 FY2016'!$B$5:$G$61,MATCH('2.1 Database'!$B17,'1.1 FY2016'!$B$5:$B$61,0),MATCH('2.1 Database'!D$3,'1.1 FY2016'!$B$4:$G$4,0)),_xlfn.IFNA(INDEX('1.2 FY2017'!$B$5:$G$86,MATCH('2.1 Database'!$B17,'1.2 FY2017'!$B$5:$B$86,0),MATCH('2.1 Database'!D$3,'1.2 FY2017'!$B$4:$G$4,0)),INDEX('1.3 FY2018'!$B$5:$G$78,MATCH('2.1 Database'!$B17,'1.3 FY2018'!$B$5:$B$78,0),MATCH('2.1 Database'!D$3,'1.3 FY2018'!$B$4:$G$4,0))))</f>
        <v>111101</v>
      </c>
      <c r="E17" s="6" t="str">
        <f>_xlfn.IFNA(INDEX('1.1 FY2016'!$B$5:$G$61,MATCH('2.1 Database'!$B17,'1.1 FY2016'!$B$5:$B$61,0),MATCH('2.1 Database'!E$3,'1.1 FY2016'!$B$4:$G$4,0)),_xlfn.IFNA(INDEX('1.2 FY2017'!$B$5:$G$86,MATCH('2.1 Database'!$B17,'1.2 FY2017'!$B$5:$B$86,0),MATCH('2.1 Database'!E$3,'1.2 FY2017'!$B$4:$G$4,0)),INDEX('1.3 FY2018'!$B$5:$G$78,MATCH('2.1 Database'!$B17,'1.3 FY2018'!$B$5:$B$78,0),MATCH('2.1 Database'!E$3,'1.3 FY2018'!$B$4:$G$4,0))))</f>
        <v>Not assigned</v>
      </c>
      <c r="F17" s="28">
        <f>-SUMIF('1.1 FY2016'!$B$5:$B$61,'2.1 Database'!$B17,'1.1 FY2016'!$F$5:$F$61)</f>
        <v>-104913.8</v>
      </c>
      <c r="G17" s="28">
        <f>-SUMIF('1.2 FY2017'!$B$5:$B$86,'2.1 Database'!$B17,'1.2 FY2017'!$F$5:$F$86)</f>
        <v>-500500</v>
      </c>
      <c r="H17" s="28">
        <f>-SUMIF('1.3 FY2018'!$B$5:$B$78,'2.1 Database'!$B17,'1.3 FY2018'!$F$5:$F$78)</f>
        <v>-143500</v>
      </c>
      <c r="J17" s="2" t="s">
        <v>227</v>
      </c>
    </row>
    <row r="18" spans="2:10" x14ac:dyDescent="0.25">
      <c r="B18" s="24" t="s">
        <v>130</v>
      </c>
      <c r="C18" s="6" t="str">
        <f>_xlfn.IFNA(INDEX('1.1 FY2016'!$B$5:$G$61,MATCH('2.1 Database'!$B18,'1.1 FY2016'!$B$5:$B$61,0),MATCH('2.1 Database'!C$3,'1.1 FY2016'!$B$4:$G$4,0)),_xlfn.IFNA(INDEX('1.2 FY2017'!$B$5:$G$86,MATCH('2.1 Database'!$B18,'1.2 FY2017'!$B$5:$B$86,0),MATCH('2.1 Database'!C$3,'1.2 FY2017'!$B$4:$G$4,0)),INDEX('1.3 FY2018'!$B$5:$G$78,MATCH('2.1 Database'!$B18,'1.3 FY2018'!$B$5:$B$78,0),MATCH('2.1 Database'!C$3,'1.3 FY2018'!$B$4:$G$4,0))))</f>
        <v>D&amp;A</v>
      </c>
      <c r="D18" s="6">
        <f>_xlfn.IFNA(INDEX('1.1 FY2016'!$B$5:$G$61,MATCH('2.1 Database'!$B18,'1.1 FY2016'!$B$5:$B$61,0),MATCH('2.1 Database'!D$3,'1.1 FY2016'!$B$4:$G$4,0)),_xlfn.IFNA(INDEX('1.2 FY2017'!$B$5:$G$86,MATCH('2.1 Database'!$B18,'1.2 FY2017'!$B$5:$B$86,0),MATCH('2.1 Database'!D$3,'1.2 FY2017'!$B$4:$G$4,0)),INDEX('1.3 FY2018'!$B$5:$G$78,MATCH('2.1 Database'!$B18,'1.3 FY2018'!$B$5:$B$78,0),MATCH('2.1 Database'!D$3,'1.3 FY2018'!$B$4:$G$4,0))))</f>
        <v>111101</v>
      </c>
      <c r="E18" s="6" t="str">
        <f>_xlfn.IFNA(INDEX('1.1 FY2016'!$B$5:$G$61,MATCH('2.1 Database'!$B18,'1.1 FY2016'!$B$5:$B$61,0),MATCH('2.1 Database'!E$3,'1.1 FY2016'!$B$4:$G$4,0)),_xlfn.IFNA(INDEX('1.2 FY2017'!$B$5:$G$86,MATCH('2.1 Database'!$B18,'1.2 FY2017'!$B$5:$B$86,0),MATCH('2.1 Database'!E$3,'1.2 FY2017'!$B$4:$G$4,0)),INDEX('1.3 FY2018'!$B$5:$G$78,MATCH('2.1 Database'!$B18,'1.3 FY2018'!$B$5:$B$78,0),MATCH('2.1 Database'!E$3,'1.3 FY2018'!$B$4:$G$4,0))))</f>
        <v>Not assigned</v>
      </c>
      <c r="F18" s="28">
        <f>-SUMIF('1.1 FY2016'!$B$5:$B$61,'2.1 Database'!$B18,'1.1 FY2016'!$F$5:$F$61)</f>
        <v>-2003262.2180000001</v>
      </c>
      <c r="G18" s="28">
        <f>-SUMIF('1.2 FY2017'!$B$5:$B$86,'2.1 Database'!$B18,'1.2 FY2017'!$F$5:$F$86)</f>
        <v>-1897676.87</v>
      </c>
      <c r="H18" s="28">
        <f>-SUMIF('1.3 FY2018'!$B$5:$B$78,'2.1 Database'!$B18,'1.3 FY2018'!$F$5:$F$78)</f>
        <v>-1875768.159</v>
      </c>
      <c r="J18" s="2" t="s">
        <v>72</v>
      </c>
    </row>
    <row r="19" spans="2:10" x14ac:dyDescent="0.25">
      <c r="B19" s="24" t="s">
        <v>131</v>
      </c>
      <c r="C19" s="6" t="str">
        <f>_xlfn.IFNA(INDEX('1.1 FY2016'!$B$5:$G$61,MATCH('2.1 Database'!$B19,'1.1 FY2016'!$B$5:$B$61,0),MATCH('2.1 Database'!C$3,'1.1 FY2016'!$B$4:$G$4,0)),_xlfn.IFNA(INDEX('1.2 FY2017'!$B$5:$G$86,MATCH('2.1 Database'!$B19,'1.2 FY2017'!$B$5:$B$86,0),MATCH('2.1 Database'!C$3,'1.2 FY2017'!$B$4:$G$4,0)),INDEX('1.3 FY2018'!$B$5:$G$78,MATCH('2.1 Database'!$B19,'1.3 FY2018'!$B$5:$B$78,0),MATCH('2.1 Database'!C$3,'1.3 FY2018'!$B$4:$G$4,0))))</f>
        <v>D&amp;A</v>
      </c>
      <c r="D19" s="6">
        <f>_xlfn.IFNA(INDEX('1.1 FY2016'!$B$5:$G$61,MATCH('2.1 Database'!$B19,'1.1 FY2016'!$B$5:$B$61,0),MATCH('2.1 Database'!D$3,'1.1 FY2016'!$B$4:$G$4,0)),_xlfn.IFNA(INDEX('1.2 FY2017'!$B$5:$G$86,MATCH('2.1 Database'!$B19,'1.2 FY2017'!$B$5:$B$86,0),MATCH('2.1 Database'!D$3,'1.2 FY2017'!$B$4:$G$4,0)),INDEX('1.3 FY2018'!$B$5:$G$78,MATCH('2.1 Database'!$B19,'1.3 FY2018'!$B$5:$B$78,0),MATCH('2.1 Database'!D$3,'1.3 FY2018'!$B$4:$G$4,0))))</f>
        <v>1</v>
      </c>
      <c r="E19" s="6" t="str">
        <f>_xlfn.IFNA(INDEX('1.1 FY2016'!$B$5:$G$61,MATCH('2.1 Database'!$B19,'1.1 FY2016'!$B$5:$B$61,0),MATCH('2.1 Database'!E$3,'1.1 FY2016'!$B$4:$G$4,0)),_xlfn.IFNA(INDEX('1.2 FY2017'!$B$5:$G$86,MATCH('2.1 Database'!$B19,'1.2 FY2017'!$B$5:$B$86,0),MATCH('2.1 Database'!E$3,'1.2 FY2017'!$B$4:$G$4,0)),INDEX('1.3 FY2018'!$B$5:$G$78,MATCH('2.1 Database'!$B19,'1.3 FY2018'!$B$5:$B$78,0),MATCH('2.1 Database'!E$3,'1.3 FY2018'!$B$4:$G$4,0))))</f>
        <v>Not assigned</v>
      </c>
      <c r="F19" s="28">
        <f>-SUMIF('1.1 FY2016'!$B$5:$B$61,'2.1 Database'!$B19,'1.1 FY2016'!$F$5:$F$61)</f>
        <v>-41981.296000000002</v>
      </c>
      <c r="G19" s="28">
        <f>-SUMIF('1.2 FY2017'!$B$5:$B$86,'2.1 Database'!$B19,'1.2 FY2017'!$F$5:$F$86)</f>
        <v>0</v>
      </c>
      <c r="H19" s="28">
        <f>-SUMIF('1.3 FY2018'!$B$5:$B$78,'2.1 Database'!$B19,'1.3 FY2018'!$F$5:$F$78)</f>
        <v>0</v>
      </c>
      <c r="J19" s="2" t="s">
        <v>72</v>
      </c>
    </row>
    <row r="20" spans="2:10" x14ac:dyDescent="0.25">
      <c r="B20" s="24" t="s">
        <v>132</v>
      </c>
      <c r="C20" s="6" t="str">
        <f>_xlfn.IFNA(INDEX('1.1 FY2016'!$B$5:$G$61,MATCH('2.1 Database'!$B20,'1.1 FY2016'!$B$5:$B$61,0),MATCH('2.1 Database'!C$3,'1.1 FY2016'!$B$4:$G$4,0)),_xlfn.IFNA(INDEX('1.2 FY2017'!$B$5:$G$86,MATCH('2.1 Database'!$B20,'1.2 FY2017'!$B$5:$B$86,0),MATCH('2.1 Database'!C$3,'1.2 FY2017'!$B$4:$G$4,0)),INDEX('1.3 FY2018'!$B$5:$G$78,MATCH('2.1 Database'!$B20,'1.3 FY2018'!$B$5:$B$78,0),MATCH('2.1 Database'!C$3,'1.3 FY2018'!$B$4:$G$4,0))))</f>
        <v>Corporate recharges</v>
      </c>
      <c r="D20" s="6" t="str">
        <f>_xlfn.IFNA(INDEX('1.1 FY2016'!$B$5:$G$61,MATCH('2.1 Database'!$B20,'1.1 FY2016'!$B$5:$B$61,0),MATCH('2.1 Database'!D$3,'1.1 FY2016'!$B$4:$G$4,0)),_xlfn.IFNA(INDEX('1.2 FY2017'!$B$5:$G$86,MATCH('2.1 Database'!$B20,'1.2 FY2017'!$B$5:$B$86,0),MATCH('2.1 Database'!D$3,'1.2 FY2017'!$B$4:$G$4,0)),INDEX('1.3 FY2018'!$B$5:$G$78,MATCH('2.1 Database'!$B20,'1.3 FY2018'!$B$5:$B$78,0),MATCH('2.1 Database'!D$3,'1.3 FY2018'!$B$4:$G$4,0))))</f>
        <v>1</v>
      </c>
      <c r="E20" s="6" t="str">
        <f>_xlfn.IFNA(INDEX('1.1 FY2016'!$B$5:$G$61,MATCH('2.1 Database'!$B20,'1.1 FY2016'!$B$5:$B$61,0),MATCH('2.1 Database'!E$3,'1.1 FY2016'!$B$4:$G$4,0)),_xlfn.IFNA(INDEX('1.2 FY2017'!$B$5:$G$86,MATCH('2.1 Database'!$B20,'1.2 FY2017'!$B$5:$B$86,0),MATCH('2.1 Database'!E$3,'1.2 FY2017'!$B$4:$G$4,0)),INDEX('1.3 FY2018'!$B$5:$G$78,MATCH('2.1 Database'!$B20,'1.3 FY2018'!$B$5:$B$78,0),MATCH('2.1 Database'!E$3,'1.3 FY2018'!$B$4:$G$4,0))))</f>
        <v>Greeny Ltd</v>
      </c>
      <c r="F20" s="28">
        <f>-SUMIF('1.1 FY2016'!$B$5:$B$61,'2.1 Database'!$B20,'1.1 FY2016'!$F$5:$F$61)</f>
        <v>2156147.4</v>
      </c>
      <c r="G20" s="28">
        <f>-SUMIF('1.2 FY2017'!$B$5:$B$86,'2.1 Database'!$B20,'1.2 FY2017'!$F$5:$F$86)</f>
        <v>1643711.145</v>
      </c>
      <c r="H20" s="28">
        <f>-SUMIF('1.3 FY2018'!$B$5:$B$78,'2.1 Database'!$B20,'1.3 FY2018'!$F$5:$F$78)</f>
        <v>1418521.358</v>
      </c>
      <c r="J20" s="2" t="s">
        <v>228</v>
      </c>
    </row>
    <row r="21" spans="2:10" x14ac:dyDescent="0.25">
      <c r="B21" s="24" t="s">
        <v>133</v>
      </c>
      <c r="C21" s="6" t="str">
        <f>_xlfn.IFNA(INDEX('1.1 FY2016'!$B$5:$G$61,MATCH('2.1 Database'!$B21,'1.1 FY2016'!$B$5:$B$61,0),MATCH('2.1 Database'!C$3,'1.1 FY2016'!$B$4:$G$4,0)),_xlfn.IFNA(INDEX('1.2 FY2017'!$B$5:$G$86,MATCH('2.1 Database'!$B21,'1.2 FY2017'!$B$5:$B$86,0),MATCH('2.1 Database'!C$3,'1.2 FY2017'!$B$4:$G$4,0)),INDEX('1.3 FY2018'!$B$5:$G$78,MATCH('2.1 Database'!$B21,'1.3 FY2018'!$B$5:$B$78,0),MATCH('2.1 Database'!C$3,'1.3 FY2018'!$B$4:$G$4,0))))</f>
        <v>Corporate recharges</v>
      </c>
      <c r="D21" s="6">
        <f>_xlfn.IFNA(INDEX('1.1 FY2016'!$B$5:$G$61,MATCH('2.1 Database'!$B21,'1.1 FY2016'!$B$5:$B$61,0),MATCH('2.1 Database'!D$3,'1.1 FY2016'!$B$4:$G$4,0)),_xlfn.IFNA(INDEX('1.2 FY2017'!$B$5:$G$86,MATCH('2.1 Database'!$B21,'1.2 FY2017'!$B$5:$B$86,0),MATCH('2.1 Database'!D$3,'1.2 FY2017'!$B$4:$G$4,0)),INDEX('1.3 FY2018'!$B$5:$G$78,MATCH('2.1 Database'!$B21,'1.3 FY2018'!$B$5:$B$78,0),MATCH('2.1 Database'!D$3,'1.3 FY2018'!$B$4:$G$4,0))))</f>
        <v>14</v>
      </c>
      <c r="E21" s="6" t="str">
        <f>_xlfn.IFNA(INDEX('1.1 FY2016'!$B$5:$G$61,MATCH('2.1 Database'!$B21,'1.1 FY2016'!$B$5:$B$61,0),MATCH('2.1 Database'!E$3,'1.1 FY2016'!$B$4:$G$4,0)),_xlfn.IFNA(INDEX('1.2 FY2017'!$B$5:$G$86,MATCH('2.1 Database'!$B21,'1.2 FY2017'!$B$5:$B$86,0),MATCH('2.1 Database'!E$3,'1.2 FY2017'!$B$4:$G$4,0)),INDEX('1.3 FY2018'!$B$5:$G$78,MATCH('2.1 Database'!$B21,'1.3 FY2018'!$B$5:$B$78,0),MATCH('2.1 Database'!E$3,'1.3 FY2018'!$B$4:$G$4,0))))</f>
        <v>Generco Cosmetics Ltd</v>
      </c>
      <c r="F21" s="28">
        <f>-SUMIF('1.1 FY2016'!$B$5:$B$61,'2.1 Database'!$B21,'1.1 FY2016'!$F$5:$F$61)</f>
        <v>291428.55199999997</v>
      </c>
      <c r="G21" s="28">
        <f>-SUMIF('1.2 FY2017'!$B$5:$B$86,'2.1 Database'!$B21,'1.2 FY2017'!$F$5:$F$86)</f>
        <v>0</v>
      </c>
      <c r="H21" s="28">
        <f>-SUMIF('1.3 FY2018'!$B$5:$B$78,'2.1 Database'!$B21,'1.3 FY2018'!$F$5:$F$78)</f>
        <v>0</v>
      </c>
      <c r="J21" s="2" t="s">
        <v>228</v>
      </c>
    </row>
    <row r="22" spans="2:10" x14ac:dyDescent="0.25">
      <c r="B22" s="24" t="s">
        <v>134</v>
      </c>
      <c r="C22" s="6" t="str">
        <f>_xlfn.IFNA(INDEX('1.1 FY2016'!$B$5:$G$61,MATCH('2.1 Database'!$B22,'1.1 FY2016'!$B$5:$B$61,0),MATCH('2.1 Database'!C$3,'1.1 FY2016'!$B$4:$G$4,0)),_xlfn.IFNA(INDEX('1.2 FY2017'!$B$5:$G$86,MATCH('2.1 Database'!$B22,'1.2 FY2017'!$B$5:$B$86,0),MATCH('2.1 Database'!C$3,'1.2 FY2017'!$B$4:$G$4,0)),INDEX('1.3 FY2018'!$B$5:$G$78,MATCH('2.1 Database'!$B22,'1.3 FY2018'!$B$5:$B$78,0),MATCH('2.1 Database'!C$3,'1.3 FY2018'!$B$4:$G$4,0))))</f>
        <v>Corporate recharges</v>
      </c>
      <c r="D22" s="6">
        <f>_xlfn.IFNA(INDEX('1.1 FY2016'!$B$5:$G$61,MATCH('2.1 Database'!$B22,'1.1 FY2016'!$B$5:$B$61,0),MATCH('2.1 Database'!D$3,'1.1 FY2016'!$B$4:$G$4,0)),_xlfn.IFNA(INDEX('1.2 FY2017'!$B$5:$G$86,MATCH('2.1 Database'!$B22,'1.2 FY2017'!$B$5:$B$86,0),MATCH('2.1 Database'!D$3,'1.2 FY2017'!$B$4:$G$4,0)),INDEX('1.3 FY2018'!$B$5:$G$78,MATCH('2.1 Database'!$B22,'1.3 FY2018'!$B$5:$B$78,0),MATCH('2.1 Database'!D$3,'1.3 FY2018'!$B$4:$G$4,0))))</f>
        <v>1037</v>
      </c>
      <c r="E22" s="6" t="str">
        <f>_xlfn.IFNA(INDEX('1.1 FY2016'!$B$5:$G$61,MATCH('2.1 Database'!$B22,'1.1 FY2016'!$B$5:$B$61,0),MATCH('2.1 Database'!E$3,'1.1 FY2016'!$B$4:$G$4,0)),_xlfn.IFNA(INDEX('1.2 FY2017'!$B$5:$G$86,MATCH('2.1 Database'!$B22,'1.2 FY2017'!$B$5:$B$86,0),MATCH('2.1 Database'!E$3,'1.2 FY2017'!$B$4:$G$4,0)),INDEX('1.3 FY2018'!$B$5:$G$78,MATCH('2.1 Database'!$B22,'1.3 FY2018'!$B$5:$B$78,0),MATCH('2.1 Database'!E$3,'1.3 FY2018'!$B$4:$G$4,0))))</f>
        <v>Generco Canada JSC</v>
      </c>
      <c r="F22" s="28">
        <f>-SUMIF('1.1 FY2016'!$B$5:$B$61,'2.1 Database'!$B22,'1.1 FY2016'!$F$5:$F$61)</f>
        <v>0</v>
      </c>
      <c r="G22" s="28">
        <f>-SUMIF('1.2 FY2017'!$B$5:$B$86,'2.1 Database'!$B22,'1.2 FY2017'!$F$5:$F$86)</f>
        <v>0</v>
      </c>
      <c r="H22" s="28">
        <f>-SUMIF('1.3 FY2018'!$B$5:$B$78,'2.1 Database'!$B22,'1.3 FY2018'!$F$5:$F$78)</f>
        <v>0</v>
      </c>
      <c r="J22" s="2" t="s">
        <v>228</v>
      </c>
    </row>
    <row r="23" spans="2:10" x14ac:dyDescent="0.25">
      <c r="B23" s="24" t="s">
        <v>135</v>
      </c>
      <c r="C23" s="6" t="str">
        <f>_xlfn.IFNA(INDEX('1.1 FY2016'!$B$5:$G$61,MATCH('2.1 Database'!$B23,'1.1 FY2016'!$B$5:$B$61,0),MATCH('2.1 Database'!C$3,'1.1 FY2016'!$B$4:$G$4,0)),_xlfn.IFNA(INDEX('1.2 FY2017'!$B$5:$G$86,MATCH('2.1 Database'!$B23,'1.2 FY2017'!$B$5:$B$86,0),MATCH('2.1 Database'!C$3,'1.2 FY2017'!$B$4:$G$4,0)),INDEX('1.3 FY2018'!$B$5:$G$78,MATCH('2.1 Database'!$B23,'1.3 FY2018'!$B$5:$B$78,0),MATCH('2.1 Database'!C$3,'1.3 FY2018'!$B$4:$G$4,0))))</f>
        <v>Corporate recharges</v>
      </c>
      <c r="D23" s="6" t="str">
        <f>_xlfn.IFNA(INDEX('1.1 FY2016'!$B$5:$G$61,MATCH('2.1 Database'!$B23,'1.1 FY2016'!$B$5:$B$61,0),MATCH('2.1 Database'!D$3,'1.1 FY2016'!$B$4:$G$4,0)),_xlfn.IFNA(INDEX('1.2 FY2017'!$B$5:$G$86,MATCH('2.1 Database'!$B23,'1.2 FY2017'!$B$5:$B$86,0),MATCH('2.1 Database'!D$3,'1.2 FY2017'!$B$4:$G$4,0)),INDEX('1.3 FY2018'!$B$5:$G$78,MATCH('2.1 Database'!$B23,'1.3 FY2018'!$B$5:$B$78,0),MATCH('2.1 Database'!D$3,'1.3 FY2018'!$B$4:$G$4,0))))</f>
        <v>1087</v>
      </c>
      <c r="E23" s="6" t="str">
        <f>_xlfn.IFNA(INDEX('1.1 FY2016'!$B$5:$G$61,MATCH('2.1 Database'!$B23,'1.1 FY2016'!$B$5:$B$61,0),MATCH('2.1 Database'!E$3,'1.1 FY2016'!$B$4:$G$4,0)),_xlfn.IFNA(INDEX('1.2 FY2017'!$B$5:$G$86,MATCH('2.1 Database'!$B23,'1.2 FY2017'!$B$5:$B$86,0),MATCH('2.1 Database'!E$3,'1.2 FY2017'!$B$4:$G$4,0)),INDEX('1.3 FY2018'!$B$5:$G$78,MATCH('2.1 Database'!$B23,'1.3 FY2018'!$B$5:$B$78,0),MATCH('2.1 Database'!E$3,'1.3 FY2018'!$B$4:$G$4,0))))</f>
        <v>Gener Beauty GmbH</v>
      </c>
      <c r="F23" s="28">
        <f>-SUMIF('1.1 FY2016'!$B$5:$B$61,'2.1 Database'!$B23,'1.1 FY2016'!$F$5:$F$61)</f>
        <v>33736.5</v>
      </c>
      <c r="G23" s="28">
        <f>-SUMIF('1.2 FY2017'!$B$5:$B$86,'2.1 Database'!$B23,'1.2 FY2017'!$F$5:$F$86)</f>
        <v>0</v>
      </c>
      <c r="H23" s="28">
        <f>-SUMIF('1.3 FY2018'!$B$5:$B$78,'2.1 Database'!$B23,'1.3 FY2018'!$F$5:$F$78)</f>
        <v>0</v>
      </c>
      <c r="J23" s="2" t="s">
        <v>228</v>
      </c>
    </row>
    <row r="24" spans="2:10" x14ac:dyDescent="0.25">
      <c r="B24" s="24" t="s">
        <v>136</v>
      </c>
      <c r="C24" s="6" t="str">
        <f>_xlfn.IFNA(INDEX('1.1 FY2016'!$B$5:$G$61,MATCH('2.1 Database'!$B24,'1.1 FY2016'!$B$5:$B$61,0),MATCH('2.1 Database'!C$3,'1.1 FY2016'!$B$4:$G$4,0)),_xlfn.IFNA(INDEX('1.2 FY2017'!$B$5:$G$86,MATCH('2.1 Database'!$B24,'1.2 FY2017'!$B$5:$B$86,0),MATCH('2.1 Database'!C$3,'1.2 FY2017'!$B$4:$G$4,0)),INDEX('1.3 FY2018'!$B$5:$G$78,MATCH('2.1 Database'!$B24,'1.3 FY2018'!$B$5:$B$78,0),MATCH('2.1 Database'!C$3,'1.3 FY2018'!$B$4:$G$4,0))))</f>
        <v>Corporate recharges</v>
      </c>
      <c r="D24" s="6">
        <f>_xlfn.IFNA(INDEX('1.1 FY2016'!$B$5:$G$61,MATCH('2.1 Database'!$B24,'1.1 FY2016'!$B$5:$B$61,0),MATCH('2.1 Database'!D$3,'1.1 FY2016'!$B$4:$G$4,0)),_xlfn.IFNA(INDEX('1.2 FY2017'!$B$5:$G$86,MATCH('2.1 Database'!$B24,'1.2 FY2017'!$B$5:$B$86,0),MATCH('2.1 Database'!D$3,'1.2 FY2017'!$B$4:$G$4,0)),INDEX('1.3 FY2018'!$B$5:$G$78,MATCH('2.1 Database'!$B24,'1.3 FY2018'!$B$5:$B$78,0),MATCH('2.1 Database'!D$3,'1.3 FY2018'!$B$4:$G$4,0))))</f>
        <v>1009</v>
      </c>
      <c r="E24" s="6" t="str">
        <f>_xlfn.IFNA(INDEX('1.1 FY2016'!$B$5:$G$61,MATCH('2.1 Database'!$B24,'1.1 FY2016'!$B$5:$B$61,0),MATCH('2.1 Database'!E$3,'1.1 FY2016'!$B$4:$G$4,0)),_xlfn.IFNA(INDEX('1.2 FY2017'!$B$5:$G$86,MATCH('2.1 Database'!$B24,'1.2 FY2017'!$B$5:$B$86,0),MATCH('2.1 Database'!E$3,'1.2 FY2017'!$B$4:$G$4,0)),INDEX('1.3 FY2018'!$B$5:$G$78,MATCH('2.1 Database'!$B24,'1.3 FY2018'!$B$5:$B$78,0),MATCH('2.1 Database'!E$3,'1.3 FY2018'!$B$4:$G$4,0))))</f>
        <v>Green Ventures Ltd</v>
      </c>
      <c r="F24" s="28">
        <f>-SUMIF('1.1 FY2016'!$B$5:$B$61,'2.1 Database'!$B24,'1.1 FY2016'!$F$5:$F$61)</f>
        <v>0</v>
      </c>
      <c r="G24" s="28">
        <f>-SUMIF('1.2 FY2017'!$B$5:$B$86,'2.1 Database'!$B24,'1.2 FY2017'!$F$5:$F$86)</f>
        <v>0</v>
      </c>
      <c r="H24" s="28">
        <f>-SUMIF('1.3 FY2018'!$B$5:$B$78,'2.1 Database'!$B24,'1.3 FY2018'!$F$5:$F$78)</f>
        <v>0</v>
      </c>
      <c r="J24" s="2" t="s">
        <v>228</v>
      </c>
    </row>
    <row r="25" spans="2:10" x14ac:dyDescent="0.25">
      <c r="B25" s="24" t="s">
        <v>137</v>
      </c>
      <c r="C25" s="6" t="str">
        <f>_xlfn.IFNA(INDEX('1.1 FY2016'!$B$5:$G$61,MATCH('2.1 Database'!$B25,'1.1 FY2016'!$B$5:$B$61,0),MATCH('2.1 Database'!C$3,'1.1 FY2016'!$B$4:$G$4,0)),_xlfn.IFNA(INDEX('1.2 FY2017'!$B$5:$G$86,MATCH('2.1 Database'!$B25,'1.2 FY2017'!$B$5:$B$86,0),MATCH('2.1 Database'!C$3,'1.2 FY2017'!$B$4:$G$4,0)),INDEX('1.3 FY2018'!$B$5:$G$78,MATCH('2.1 Database'!$B25,'1.3 FY2018'!$B$5:$B$78,0),MATCH('2.1 Database'!C$3,'1.3 FY2018'!$B$4:$G$4,0))))</f>
        <v>Corporate recharges</v>
      </c>
      <c r="D25" s="6">
        <f>_xlfn.IFNA(INDEX('1.1 FY2016'!$B$5:$G$61,MATCH('2.1 Database'!$B25,'1.1 FY2016'!$B$5:$B$61,0),MATCH('2.1 Database'!D$3,'1.1 FY2016'!$B$4:$G$4,0)),_xlfn.IFNA(INDEX('1.2 FY2017'!$B$5:$G$86,MATCH('2.1 Database'!$B25,'1.2 FY2017'!$B$5:$B$86,0),MATCH('2.1 Database'!D$3,'1.2 FY2017'!$B$4:$G$4,0)),INDEX('1.3 FY2018'!$B$5:$G$78,MATCH('2.1 Database'!$B25,'1.3 FY2018'!$B$5:$B$78,0),MATCH('2.1 Database'!D$3,'1.3 FY2018'!$B$4:$G$4,0))))</f>
        <v>1007</v>
      </c>
      <c r="E25" s="6" t="str">
        <f>_xlfn.IFNA(INDEX('1.1 FY2016'!$B$5:$G$61,MATCH('2.1 Database'!$B25,'1.1 FY2016'!$B$5:$B$61,0),MATCH('2.1 Database'!E$3,'1.1 FY2016'!$B$4:$G$4,0)),_xlfn.IFNA(INDEX('1.2 FY2017'!$B$5:$G$86,MATCH('2.1 Database'!$B25,'1.2 FY2017'!$B$5:$B$86,0),MATCH('2.1 Database'!E$3,'1.2 FY2017'!$B$4:$G$4,0)),INDEX('1.3 FY2018'!$B$5:$G$78,MATCH('2.1 Database'!$B25,'1.3 FY2018'!$B$5:$B$78,0),MATCH('2.1 Database'!E$3,'1.3 FY2018'!$B$4:$G$4,0))))</f>
        <v>Generco Sunshine JSC</v>
      </c>
      <c r="F25" s="28">
        <f>-SUMIF('1.1 FY2016'!$B$5:$B$61,'2.1 Database'!$B25,'1.1 FY2016'!$F$5:$F$61)</f>
        <v>0</v>
      </c>
      <c r="G25" s="28">
        <f>-SUMIF('1.2 FY2017'!$B$5:$B$86,'2.1 Database'!$B25,'1.2 FY2017'!$F$5:$F$86)</f>
        <v>0</v>
      </c>
      <c r="H25" s="28">
        <f>-SUMIF('1.3 FY2018'!$B$5:$B$78,'2.1 Database'!$B25,'1.3 FY2018'!$F$5:$F$78)</f>
        <v>0</v>
      </c>
      <c r="J25" s="2" t="s">
        <v>228</v>
      </c>
    </row>
    <row r="26" spans="2:10" x14ac:dyDescent="0.25">
      <c r="B26" s="24" t="s">
        <v>138</v>
      </c>
      <c r="C26" s="6" t="str">
        <f>_xlfn.IFNA(INDEX('1.1 FY2016'!$B$5:$G$61,MATCH('2.1 Database'!$B26,'1.1 FY2016'!$B$5:$B$61,0),MATCH('2.1 Database'!C$3,'1.1 FY2016'!$B$4:$G$4,0)),_xlfn.IFNA(INDEX('1.2 FY2017'!$B$5:$G$86,MATCH('2.1 Database'!$B26,'1.2 FY2017'!$B$5:$B$86,0),MATCH('2.1 Database'!C$3,'1.2 FY2017'!$B$4:$G$4,0)),INDEX('1.3 FY2018'!$B$5:$G$78,MATCH('2.1 Database'!$B26,'1.3 FY2018'!$B$5:$B$78,0),MATCH('2.1 Database'!C$3,'1.3 FY2018'!$B$4:$G$4,0))))</f>
        <v>Corporate recharges</v>
      </c>
      <c r="D26" s="6">
        <f>_xlfn.IFNA(INDEX('1.1 FY2016'!$B$5:$G$61,MATCH('2.1 Database'!$B26,'1.1 FY2016'!$B$5:$B$61,0),MATCH('2.1 Database'!D$3,'1.1 FY2016'!$B$4:$G$4,0)),_xlfn.IFNA(INDEX('1.2 FY2017'!$B$5:$G$86,MATCH('2.1 Database'!$B26,'1.2 FY2017'!$B$5:$B$86,0),MATCH('2.1 Database'!D$3,'1.2 FY2017'!$B$4:$G$4,0)),INDEX('1.3 FY2018'!$B$5:$G$78,MATCH('2.1 Database'!$B26,'1.3 FY2018'!$B$5:$B$78,0),MATCH('2.1 Database'!D$3,'1.3 FY2018'!$B$4:$G$4,0))))</f>
        <v>1008</v>
      </c>
      <c r="E26" s="6" t="str">
        <f>_xlfn.IFNA(INDEX('1.1 FY2016'!$B$5:$G$61,MATCH('2.1 Database'!$B26,'1.1 FY2016'!$B$5:$B$61,0),MATCH('2.1 Database'!E$3,'1.1 FY2016'!$B$4:$G$4,0)),_xlfn.IFNA(INDEX('1.2 FY2017'!$B$5:$G$86,MATCH('2.1 Database'!$B26,'1.2 FY2017'!$B$5:$B$86,0),MATCH('2.1 Database'!E$3,'1.2 FY2017'!$B$4:$G$4,0)),INDEX('1.3 FY2018'!$B$5:$G$78,MATCH('2.1 Database'!$B26,'1.3 FY2018'!$B$5:$B$78,0),MATCH('2.1 Database'!E$3,'1.3 FY2018'!$B$4:$G$4,0))))</f>
        <v>Greenco Ltd</v>
      </c>
      <c r="F26" s="28">
        <f>-SUMIF('1.1 FY2016'!$B$5:$B$61,'2.1 Database'!$B26,'1.1 FY2016'!$F$5:$F$61)</f>
        <v>0</v>
      </c>
      <c r="G26" s="28">
        <f>-SUMIF('1.2 FY2017'!$B$5:$B$86,'2.1 Database'!$B26,'1.2 FY2017'!$F$5:$F$86)</f>
        <v>0</v>
      </c>
      <c r="H26" s="28">
        <f>-SUMIF('1.3 FY2018'!$B$5:$B$78,'2.1 Database'!$B26,'1.3 FY2018'!$F$5:$F$78)</f>
        <v>0</v>
      </c>
      <c r="J26" s="2" t="s">
        <v>228</v>
      </c>
    </row>
    <row r="27" spans="2:10" x14ac:dyDescent="0.25">
      <c r="B27" s="24" t="s">
        <v>139</v>
      </c>
      <c r="C27" s="6" t="str">
        <f>_xlfn.IFNA(INDEX('1.1 FY2016'!$B$5:$G$61,MATCH('2.1 Database'!$B27,'1.1 FY2016'!$B$5:$B$61,0),MATCH('2.1 Database'!C$3,'1.1 FY2016'!$B$4:$G$4,0)),_xlfn.IFNA(INDEX('1.2 FY2017'!$B$5:$G$86,MATCH('2.1 Database'!$B27,'1.2 FY2017'!$B$5:$B$86,0),MATCH('2.1 Database'!C$3,'1.2 FY2017'!$B$4:$G$4,0)),INDEX('1.3 FY2018'!$B$5:$G$78,MATCH('2.1 Database'!$B27,'1.3 FY2018'!$B$5:$B$78,0),MATCH('2.1 Database'!C$3,'1.3 FY2018'!$B$4:$G$4,0))))</f>
        <v>Corporate recharges</v>
      </c>
      <c r="D27" s="6">
        <f>_xlfn.IFNA(INDEX('1.1 FY2016'!$B$5:$G$61,MATCH('2.1 Database'!$B27,'1.1 FY2016'!$B$5:$B$61,0),MATCH('2.1 Database'!D$3,'1.1 FY2016'!$B$4:$G$4,0)),_xlfn.IFNA(INDEX('1.2 FY2017'!$B$5:$G$86,MATCH('2.1 Database'!$B27,'1.2 FY2017'!$B$5:$B$86,0),MATCH('2.1 Database'!D$3,'1.2 FY2017'!$B$4:$G$4,0)),INDEX('1.3 FY2018'!$B$5:$G$78,MATCH('2.1 Database'!$B27,'1.3 FY2018'!$B$5:$B$78,0),MATCH('2.1 Database'!D$3,'1.3 FY2018'!$B$4:$G$4,0))))</f>
        <v>1240</v>
      </c>
      <c r="E27" s="6" t="str">
        <f>_xlfn.IFNA(INDEX('1.1 FY2016'!$B$5:$G$61,MATCH('2.1 Database'!$B27,'1.1 FY2016'!$B$5:$B$61,0),MATCH('2.1 Database'!E$3,'1.1 FY2016'!$B$4:$G$4,0)),_xlfn.IFNA(INDEX('1.2 FY2017'!$B$5:$G$86,MATCH('2.1 Database'!$B27,'1.2 FY2017'!$B$5:$B$86,0),MATCH('2.1 Database'!E$3,'1.2 FY2017'!$B$4:$G$4,0)),INDEX('1.3 FY2018'!$B$5:$G$78,MATCH('2.1 Database'!$B27,'1.3 FY2018'!$B$5:$B$78,0),MATCH('2.1 Database'!E$3,'1.3 FY2018'!$B$4:$G$4,0))))</f>
        <v xml:space="preserve">Generco UK </v>
      </c>
      <c r="F27" s="28">
        <f>-SUMIF('1.1 FY2016'!$B$5:$B$61,'2.1 Database'!$B27,'1.1 FY2016'!$F$5:$F$61)</f>
        <v>199600.4</v>
      </c>
      <c r="G27" s="28">
        <f>-SUMIF('1.2 FY2017'!$B$5:$B$86,'2.1 Database'!$B27,'1.2 FY2017'!$F$5:$F$86)</f>
        <v>10461.36</v>
      </c>
      <c r="H27" s="28">
        <f>-SUMIF('1.3 FY2018'!$B$5:$B$78,'2.1 Database'!$B27,'1.3 FY2018'!$F$5:$F$78)</f>
        <v>0</v>
      </c>
      <c r="J27" s="2" t="s">
        <v>228</v>
      </c>
    </row>
    <row r="28" spans="2:10" x14ac:dyDescent="0.25">
      <c r="B28" s="24" t="s">
        <v>140</v>
      </c>
      <c r="C28" s="6" t="str">
        <f>_xlfn.IFNA(INDEX('1.1 FY2016'!$B$5:$G$61,MATCH('2.1 Database'!$B28,'1.1 FY2016'!$B$5:$B$61,0),MATCH('2.1 Database'!C$3,'1.1 FY2016'!$B$4:$G$4,0)),_xlfn.IFNA(INDEX('1.2 FY2017'!$B$5:$G$86,MATCH('2.1 Database'!$B28,'1.2 FY2017'!$B$5:$B$86,0),MATCH('2.1 Database'!C$3,'1.2 FY2017'!$B$4:$G$4,0)),INDEX('1.3 FY2018'!$B$5:$G$78,MATCH('2.1 Database'!$B28,'1.3 FY2018'!$B$5:$B$78,0),MATCH('2.1 Database'!C$3,'1.3 FY2018'!$B$4:$G$4,0))))</f>
        <v>Corporate recharges</v>
      </c>
      <c r="D28" s="6">
        <f>_xlfn.IFNA(INDEX('1.1 FY2016'!$B$5:$G$61,MATCH('2.1 Database'!$B28,'1.1 FY2016'!$B$5:$B$61,0),MATCH('2.1 Database'!D$3,'1.1 FY2016'!$B$4:$G$4,0)),_xlfn.IFNA(INDEX('1.2 FY2017'!$B$5:$G$86,MATCH('2.1 Database'!$B28,'1.2 FY2017'!$B$5:$B$86,0),MATCH('2.1 Database'!D$3,'1.2 FY2017'!$B$4:$G$4,0)),INDEX('1.3 FY2018'!$B$5:$G$78,MATCH('2.1 Database'!$B28,'1.3 FY2018'!$B$5:$B$78,0),MATCH('2.1 Database'!D$3,'1.3 FY2018'!$B$4:$G$4,0))))</f>
        <v>111111</v>
      </c>
      <c r="E28" s="6" t="str">
        <f>_xlfn.IFNA(INDEX('1.1 FY2016'!$B$5:$G$61,MATCH('2.1 Database'!$B28,'1.1 FY2016'!$B$5:$B$61,0),MATCH('2.1 Database'!E$3,'1.1 FY2016'!$B$4:$G$4,0)),_xlfn.IFNA(INDEX('1.2 FY2017'!$B$5:$G$86,MATCH('2.1 Database'!$B28,'1.2 FY2017'!$B$5:$B$86,0),MATCH('2.1 Database'!E$3,'1.2 FY2017'!$B$4:$G$4,0)),INDEX('1.3 FY2018'!$B$5:$G$78,MATCH('2.1 Database'!$B28,'1.3 FY2018'!$B$5:$B$78,0),MATCH('2.1 Database'!E$3,'1.3 FY2018'!$B$4:$G$4,0))))</f>
        <v>External</v>
      </c>
      <c r="F28" s="28">
        <f>-SUMIF('1.1 FY2016'!$B$5:$B$61,'2.1 Database'!$B28,'1.1 FY2016'!$F$5:$F$61)</f>
        <v>539141.4</v>
      </c>
      <c r="G28" s="28">
        <f>-SUMIF('1.2 FY2017'!$B$5:$B$86,'2.1 Database'!$B28,'1.2 FY2017'!$F$5:$F$86)</f>
        <v>6785.94</v>
      </c>
      <c r="H28" s="28">
        <f>-SUMIF('1.3 FY2018'!$B$5:$B$78,'2.1 Database'!$B28,'1.3 FY2018'!$F$5:$F$78)</f>
        <v>902857.84299999999</v>
      </c>
      <c r="J28" s="2" t="s">
        <v>228</v>
      </c>
    </row>
    <row r="29" spans="2:10" x14ac:dyDescent="0.25">
      <c r="B29" s="24" t="s">
        <v>141</v>
      </c>
      <c r="C29" s="6" t="str">
        <f>_xlfn.IFNA(INDEX('1.1 FY2016'!$B$5:$G$61,MATCH('2.1 Database'!$B29,'1.1 FY2016'!$B$5:$B$61,0),MATCH('2.1 Database'!C$3,'1.1 FY2016'!$B$4:$G$4,0)),_xlfn.IFNA(INDEX('1.2 FY2017'!$B$5:$G$86,MATCH('2.1 Database'!$B29,'1.2 FY2017'!$B$5:$B$86,0),MATCH('2.1 Database'!C$3,'1.2 FY2017'!$B$4:$G$4,0)),INDEX('1.3 FY2018'!$B$5:$G$78,MATCH('2.1 Database'!$B29,'1.3 FY2018'!$B$5:$B$78,0),MATCH('2.1 Database'!C$3,'1.3 FY2018'!$B$4:$G$4,0))))</f>
        <v>Other income</v>
      </c>
      <c r="D29" s="6">
        <f>_xlfn.IFNA(INDEX('1.1 FY2016'!$B$5:$G$61,MATCH('2.1 Database'!$B29,'1.1 FY2016'!$B$5:$B$61,0),MATCH('2.1 Database'!D$3,'1.1 FY2016'!$B$4:$G$4,0)),_xlfn.IFNA(INDEX('1.2 FY2017'!$B$5:$G$86,MATCH('2.1 Database'!$B29,'1.2 FY2017'!$B$5:$B$86,0),MATCH('2.1 Database'!D$3,'1.2 FY2017'!$B$4:$G$4,0)),INDEX('1.3 FY2018'!$B$5:$G$78,MATCH('2.1 Database'!$B29,'1.3 FY2018'!$B$5:$B$78,0),MATCH('2.1 Database'!D$3,'1.3 FY2018'!$B$4:$G$4,0))))</f>
        <v>111111</v>
      </c>
      <c r="E29" s="6" t="str">
        <f>_xlfn.IFNA(INDEX('1.1 FY2016'!$B$5:$G$61,MATCH('2.1 Database'!$B29,'1.1 FY2016'!$B$5:$B$61,0),MATCH('2.1 Database'!E$3,'1.1 FY2016'!$B$4:$G$4,0)),_xlfn.IFNA(INDEX('1.2 FY2017'!$B$5:$G$86,MATCH('2.1 Database'!$B29,'1.2 FY2017'!$B$5:$B$86,0),MATCH('2.1 Database'!E$3,'1.2 FY2017'!$B$4:$G$4,0)),INDEX('1.3 FY2018'!$B$5:$G$78,MATCH('2.1 Database'!$B29,'1.3 FY2018'!$B$5:$B$78,0),MATCH('2.1 Database'!E$3,'1.3 FY2018'!$B$4:$G$4,0))))</f>
        <v>External</v>
      </c>
      <c r="F29" s="28">
        <f>-SUMIF('1.1 FY2016'!$B$5:$B$61,'2.1 Database'!$B29,'1.1 FY2016'!$F$5:$F$61)</f>
        <v>57.221999999999994</v>
      </c>
      <c r="G29" s="28">
        <f>-SUMIF('1.2 FY2017'!$B$5:$B$86,'2.1 Database'!$B29,'1.2 FY2017'!$F$5:$F$86)</f>
        <v>-9793.84</v>
      </c>
      <c r="H29" s="28">
        <f>-SUMIF('1.3 FY2018'!$B$5:$B$78,'2.1 Database'!$B29,'1.3 FY2018'!$F$5:$F$78)</f>
        <v>15872.001999999999</v>
      </c>
      <c r="J29" s="2" t="s">
        <v>74</v>
      </c>
    </row>
    <row r="30" spans="2:10" x14ac:dyDescent="0.25">
      <c r="B30" s="24" t="s">
        <v>142</v>
      </c>
      <c r="C30" s="6" t="str">
        <f>_xlfn.IFNA(INDEX('1.1 FY2016'!$B$5:$G$61,MATCH('2.1 Database'!$B30,'1.1 FY2016'!$B$5:$B$61,0),MATCH('2.1 Database'!C$3,'1.1 FY2016'!$B$4:$G$4,0)),_xlfn.IFNA(INDEX('1.2 FY2017'!$B$5:$G$86,MATCH('2.1 Database'!$B30,'1.2 FY2017'!$B$5:$B$86,0),MATCH('2.1 Database'!C$3,'1.2 FY2017'!$B$4:$G$4,0)),INDEX('1.3 FY2018'!$B$5:$G$78,MATCH('2.1 Database'!$B30,'1.3 FY2018'!$B$5:$B$78,0),MATCH('2.1 Database'!C$3,'1.3 FY2018'!$B$4:$G$4,0))))</f>
        <v>Marketing expenses</v>
      </c>
      <c r="D30" s="6">
        <f>_xlfn.IFNA(INDEX('1.1 FY2016'!$B$5:$G$61,MATCH('2.1 Database'!$B30,'1.1 FY2016'!$B$5:$B$61,0),MATCH('2.1 Database'!D$3,'1.1 FY2016'!$B$4:$G$4,0)),_xlfn.IFNA(INDEX('1.2 FY2017'!$B$5:$G$86,MATCH('2.1 Database'!$B30,'1.2 FY2017'!$B$5:$B$86,0),MATCH('2.1 Database'!D$3,'1.2 FY2017'!$B$4:$G$4,0)),INDEX('1.3 FY2018'!$B$5:$G$78,MATCH('2.1 Database'!$B30,'1.3 FY2018'!$B$5:$B$78,0),MATCH('2.1 Database'!D$3,'1.3 FY2018'!$B$4:$G$4,0))))</f>
        <v>111111</v>
      </c>
      <c r="E30" s="6" t="str">
        <f>_xlfn.IFNA(INDEX('1.1 FY2016'!$B$5:$G$61,MATCH('2.1 Database'!$B30,'1.1 FY2016'!$B$5:$B$61,0),MATCH('2.1 Database'!E$3,'1.1 FY2016'!$B$4:$G$4,0)),_xlfn.IFNA(INDEX('1.2 FY2017'!$B$5:$G$86,MATCH('2.1 Database'!$B30,'1.2 FY2017'!$B$5:$B$86,0),MATCH('2.1 Database'!E$3,'1.2 FY2017'!$B$4:$G$4,0)),INDEX('1.3 FY2018'!$B$5:$G$78,MATCH('2.1 Database'!$B30,'1.3 FY2018'!$B$5:$B$78,0),MATCH('2.1 Database'!E$3,'1.3 FY2018'!$B$4:$G$4,0))))</f>
        <v>External</v>
      </c>
      <c r="F30" s="28">
        <f>-SUMIF('1.1 FY2016'!$B$5:$B$61,'2.1 Database'!$B30,'1.1 FY2016'!$F$5:$F$61)</f>
        <v>-22314.879999999997</v>
      </c>
      <c r="G30" s="28">
        <f>-SUMIF('1.2 FY2017'!$B$5:$B$86,'2.1 Database'!$B30,'1.2 FY2017'!$F$5:$F$86)</f>
        <v>-65947.7</v>
      </c>
      <c r="H30" s="28">
        <f>-SUMIF('1.3 FY2018'!$B$5:$B$78,'2.1 Database'!$B30,'1.3 FY2018'!$F$5:$F$78)</f>
        <v>-57.317999999999998</v>
      </c>
      <c r="J30" s="2" t="s">
        <v>226</v>
      </c>
    </row>
    <row r="31" spans="2:10" x14ac:dyDescent="0.25">
      <c r="B31" s="24" t="s">
        <v>143</v>
      </c>
      <c r="C31" s="6" t="str">
        <f>_xlfn.IFNA(INDEX('1.1 FY2016'!$B$5:$G$61,MATCH('2.1 Database'!$B31,'1.1 FY2016'!$B$5:$B$61,0),MATCH('2.1 Database'!C$3,'1.1 FY2016'!$B$4:$G$4,0)),_xlfn.IFNA(INDEX('1.2 FY2017'!$B$5:$G$86,MATCH('2.1 Database'!$B31,'1.2 FY2017'!$B$5:$B$86,0),MATCH('2.1 Database'!C$3,'1.2 FY2017'!$B$4:$G$4,0)),INDEX('1.3 FY2018'!$B$5:$G$78,MATCH('2.1 Database'!$B31,'1.3 FY2018'!$B$5:$B$78,0),MATCH('2.1 Database'!C$3,'1.3 FY2018'!$B$4:$G$4,0))))</f>
        <v>Software&amp;IT</v>
      </c>
      <c r="D31" s="6">
        <f>_xlfn.IFNA(INDEX('1.1 FY2016'!$B$5:$G$61,MATCH('2.1 Database'!$B31,'1.1 FY2016'!$B$5:$B$61,0),MATCH('2.1 Database'!D$3,'1.1 FY2016'!$B$4:$G$4,0)),_xlfn.IFNA(INDEX('1.2 FY2017'!$B$5:$G$86,MATCH('2.1 Database'!$B31,'1.2 FY2017'!$B$5:$B$86,0),MATCH('2.1 Database'!D$3,'1.2 FY2017'!$B$4:$G$4,0)),INDEX('1.3 FY2018'!$B$5:$G$78,MATCH('2.1 Database'!$B31,'1.3 FY2018'!$B$5:$B$78,0),MATCH('2.1 Database'!D$3,'1.3 FY2018'!$B$4:$G$4,0))))</f>
        <v>88</v>
      </c>
      <c r="E31" s="6" t="str">
        <f>_xlfn.IFNA(INDEX('1.1 FY2016'!$B$5:$G$61,MATCH('2.1 Database'!$B31,'1.1 FY2016'!$B$5:$B$61,0),MATCH('2.1 Database'!E$3,'1.1 FY2016'!$B$4:$G$4,0)),_xlfn.IFNA(INDEX('1.2 FY2017'!$B$5:$G$86,MATCH('2.1 Database'!$B31,'1.2 FY2017'!$B$5:$B$86,0),MATCH('2.1 Database'!E$3,'1.2 FY2017'!$B$4:$G$4,0)),INDEX('1.3 FY2018'!$B$5:$G$78,MATCH('2.1 Database'!$B31,'1.3 FY2018'!$B$5:$B$78,0),MATCH('2.1 Database'!E$3,'1.3 FY2018'!$B$4:$G$4,0))))</f>
        <v>Generco Ltd</v>
      </c>
      <c r="F31" s="28">
        <f>-SUMIF('1.1 FY2016'!$B$5:$B$61,'2.1 Database'!$B31,'1.1 FY2016'!$F$5:$F$61)</f>
        <v>-204000</v>
      </c>
      <c r="G31" s="28">
        <f>-SUMIF('1.2 FY2017'!$B$5:$B$86,'2.1 Database'!$B31,'1.2 FY2017'!$F$5:$F$86)</f>
        <v>0</v>
      </c>
      <c r="H31" s="28">
        <f>-SUMIF('1.3 FY2018'!$B$5:$B$78,'2.1 Database'!$B31,'1.3 FY2018'!$F$5:$F$78)</f>
        <v>0</v>
      </c>
      <c r="J31" s="2" t="s">
        <v>226</v>
      </c>
    </row>
    <row r="32" spans="2:10" x14ac:dyDescent="0.25">
      <c r="B32" s="24" t="s">
        <v>144</v>
      </c>
      <c r="C32" s="6" t="str">
        <f>_xlfn.IFNA(INDEX('1.1 FY2016'!$B$5:$G$61,MATCH('2.1 Database'!$B32,'1.1 FY2016'!$B$5:$B$61,0),MATCH('2.1 Database'!C$3,'1.1 FY2016'!$B$4:$G$4,0)),_xlfn.IFNA(INDEX('1.2 FY2017'!$B$5:$G$86,MATCH('2.1 Database'!$B32,'1.2 FY2017'!$B$5:$B$86,0),MATCH('2.1 Database'!C$3,'1.2 FY2017'!$B$4:$G$4,0)),INDEX('1.3 FY2018'!$B$5:$G$78,MATCH('2.1 Database'!$B32,'1.3 FY2018'!$B$5:$B$78,0),MATCH('2.1 Database'!C$3,'1.3 FY2018'!$B$4:$G$4,0))))</f>
        <v>Software&amp;IT</v>
      </c>
      <c r="D32" s="6">
        <f>_xlfn.IFNA(INDEX('1.1 FY2016'!$B$5:$G$61,MATCH('2.1 Database'!$B32,'1.1 FY2016'!$B$5:$B$61,0),MATCH('2.1 Database'!D$3,'1.1 FY2016'!$B$4:$G$4,0)),_xlfn.IFNA(INDEX('1.2 FY2017'!$B$5:$G$86,MATCH('2.1 Database'!$B32,'1.2 FY2017'!$B$5:$B$86,0),MATCH('2.1 Database'!D$3,'1.2 FY2017'!$B$4:$G$4,0)),INDEX('1.3 FY2018'!$B$5:$G$78,MATCH('2.1 Database'!$B32,'1.3 FY2018'!$B$5:$B$78,0),MATCH('2.1 Database'!D$3,'1.3 FY2018'!$B$4:$G$4,0))))</f>
        <v>111111</v>
      </c>
      <c r="E32" s="6" t="str">
        <f>_xlfn.IFNA(INDEX('1.1 FY2016'!$B$5:$G$61,MATCH('2.1 Database'!$B32,'1.1 FY2016'!$B$5:$B$61,0),MATCH('2.1 Database'!E$3,'1.1 FY2016'!$B$4:$G$4,0)),_xlfn.IFNA(INDEX('1.2 FY2017'!$B$5:$G$86,MATCH('2.1 Database'!$B32,'1.2 FY2017'!$B$5:$B$86,0),MATCH('2.1 Database'!E$3,'1.2 FY2017'!$B$4:$G$4,0)),INDEX('1.3 FY2018'!$B$5:$G$78,MATCH('2.1 Database'!$B32,'1.3 FY2018'!$B$5:$B$78,0),MATCH('2.1 Database'!E$3,'1.3 FY2018'!$B$4:$G$4,0))))</f>
        <v>External</v>
      </c>
      <c r="F32" s="28">
        <f>-SUMIF('1.1 FY2016'!$B$5:$B$61,'2.1 Database'!$B32,'1.1 FY2016'!$F$5:$F$61)</f>
        <v>-138.41399999999999</v>
      </c>
      <c r="G32" s="28">
        <f>-SUMIF('1.2 FY2017'!$B$5:$B$86,'2.1 Database'!$B32,'1.2 FY2017'!$F$5:$F$86)</f>
        <v>-5138.91</v>
      </c>
      <c r="H32" s="28">
        <f>-SUMIF('1.3 FY2018'!$B$5:$B$78,'2.1 Database'!$B32,'1.3 FY2018'!$F$5:$F$78)</f>
        <v>-19198.66</v>
      </c>
      <c r="J32" s="2" t="s">
        <v>226</v>
      </c>
    </row>
    <row r="33" spans="2:10" x14ac:dyDescent="0.25">
      <c r="B33" s="24" t="s">
        <v>145</v>
      </c>
      <c r="C33" s="6" t="str">
        <f>_xlfn.IFNA(INDEX('1.1 FY2016'!$B$5:$G$61,MATCH('2.1 Database'!$B33,'1.1 FY2016'!$B$5:$B$61,0),MATCH('2.1 Database'!C$3,'1.1 FY2016'!$B$4:$G$4,0)),_xlfn.IFNA(INDEX('1.2 FY2017'!$B$5:$G$86,MATCH('2.1 Database'!$B33,'1.2 FY2017'!$B$5:$B$86,0),MATCH('2.1 Database'!C$3,'1.2 FY2017'!$B$4:$G$4,0)),INDEX('1.3 FY2018'!$B$5:$G$78,MATCH('2.1 Database'!$B33,'1.3 FY2018'!$B$5:$B$78,0),MATCH('2.1 Database'!C$3,'1.3 FY2018'!$B$4:$G$4,0))))</f>
        <v>Leasings</v>
      </c>
      <c r="D33" s="6">
        <f>_xlfn.IFNA(INDEX('1.1 FY2016'!$B$5:$G$61,MATCH('2.1 Database'!$B33,'1.1 FY2016'!$B$5:$B$61,0),MATCH('2.1 Database'!D$3,'1.1 FY2016'!$B$4:$G$4,0)),_xlfn.IFNA(INDEX('1.2 FY2017'!$B$5:$G$86,MATCH('2.1 Database'!$B33,'1.2 FY2017'!$B$5:$B$86,0),MATCH('2.1 Database'!D$3,'1.2 FY2017'!$B$4:$G$4,0)),INDEX('1.3 FY2018'!$B$5:$G$78,MATCH('2.1 Database'!$B33,'1.3 FY2018'!$B$5:$B$78,0),MATCH('2.1 Database'!D$3,'1.3 FY2018'!$B$4:$G$4,0))))</f>
        <v>111111</v>
      </c>
      <c r="E33" s="6" t="str">
        <f>_xlfn.IFNA(INDEX('1.1 FY2016'!$B$5:$G$61,MATCH('2.1 Database'!$B33,'1.1 FY2016'!$B$5:$B$61,0),MATCH('2.1 Database'!E$3,'1.1 FY2016'!$B$4:$G$4,0)),_xlfn.IFNA(INDEX('1.2 FY2017'!$B$5:$G$86,MATCH('2.1 Database'!$B33,'1.2 FY2017'!$B$5:$B$86,0),MATCH('2.1 Database'!E$3,'1.2 FY2017'!$B$4:$G$4,0)),INDEX('1.3 FY2018'!$B$5:$G$78,MATCH('2.1 Database'!$B33,'1.3 FY2018'!$B$5:$B$78,0),MATCH('2.1 Database'!E$3,'1.3 FY2018'!$B$4:$G$4,0))))</f>
        <v>External</v>
      </c>
      <c r="F33" s="28">
        <f>-SUMIF('1.1 FY2016'!$B$5:$B$61,'2.1 Database'!$B33,'1.1 FY2016'!$F$5:$F$61)</f>
        <v>-1127445.872</v>
      </c>
      <c r="G33" s="28">
        <f>-SUMIF('1.2 FY2017'!$B$5:$B$86,'2.1 Database'!$B33,'1.2 FY2017'!$F$5:$F$86)</f>
        <v>-1055381.4750000001</v>
      </c>
      <c r="H33" s="28">
        <f>-SUMIF('1.3 FY2018'!$B$5:$B$78,'2.1 Database'!$B33,'1.3 FY2018'!$F$5:$F$78)</f>
        <v>172933.44899999999</v>
      </c>
      <c r="J33" s="2" t="s">
        <v>229</v>
      </c>
    </row>
    <row r="34" spans="2:10" x14ac:dyDescent="0.25">
      <c r="B34" s="24" t="s">
        <v>146</v>
      </c>
      <c r="C34" s="6" t="str">
        <f>_xlfn.IFNA(INDEX('1.1 FY2016'!$B$5:$G$61,MATCH('2.1 Database'!$B34,'1.1 FY2016'!$B$5:$B$61,0),MATCH('2.1 Database'!C$3,'1.1 FY2016'!$B$4:$G$4,0)),_xlfn.IFNA(INDEX('1.2 FY2017'!$B$5:$G$86,MATCH('2.1 Database'!$B34,'1.2 FY2017'!$B$5:$B$86,0),MATCH('2.1 Database'!C$3,'1.2 FY2017'!$B$4:$G$4,0)),INDEX('1.3 FY2018'!$B$5:$G$78,MATCH('2.1 Database'!$B34,'1.3 FY2018'!$B$5:$B$78,0),MATCH('2.1 Database'!C$3,'1.3 FY2018'!$B$4:$G$4,0))))</f>
        <v>Service expenses</v>
      </c>
      <c r="D34" s="6" t="str">
        <f>_xlfn.IFNA(INDEX('1.1 FY2016'!$B$5:$G$61,MATCH('2.1 Database'!$B34,'1.1 FY2016'!$B$5:$B$61,0),MATCH('2.1 Database'!D$3,'1.1 FY2016'!$B$4:$G$4,0)),_xlfn.IFNA(INDEX('1.2 FY2017'!$B$5:$G$86,MATCH('2.1 Database'!$B34,'1.2 FY2017'!$B$5:$B$86,0),MATCH('2.1 Database'!D$3,'1.2 FY2017'!$B$4:$G$4,0)),INDEX('1.3 FY2018'!$B$5:$G$78,MATCH('2.1 Database'!$B34,'1.3 FY2018'!$B$5:$B$78,0),MATCH('2.1 Database'!D$3,'1.3 FY2018'!$B$4:$G$4,0))))</f>
        <v>43</v>
      </c>
      <c r="E34" s="6" t="str">
        <f>_xlfn.IFNA(INDEX('1.1 FY2016'!$B$5:$G$61,MATCH('2.1 Database'!$B34,'1.1 FY2016'!$B$5:$B$61,0),MATCH('2.1 Database'!E$3,'1.1 FY2016'!$B$4:$G$4,0)),_xlfn.IFNA(INDEX('1.2 FY2017'!$B$5:$G$86,MATCH('2.1 Database'!$B34,'1.2 FY2017'!$B$5:$B$86,0),MATCH('2.1 Database'!E$3,'1.2 FY2017'!$B$4:$G$4,0)),INDEX('1.3 FY2018'!$B$5:$G$78,MATCH('2.1 Database'!$B34,'1.3 FY2018'!$B$5:$B$78,0),MATCH('2.1 Database'!E$3,'1.3 FY2018'!$B$4:$G$4,0))))</f>
        <v>Greeny France SL</v>
      </c>
      <c r="F34" s="28">
        <f>-SUMIF('1.1 FY2016'!$B$5:$B$61,'2.1 Database'!$B34,'1.1 FY2016'!$F$5:$F$61)</f>
        <v>-133722</v>
      </c>
      <c r="G34" s="28">
        <f>-SUMIF('1.2 FY2017'!$B$5:$B$86,'2.1 Database'!$B34,'1.2 FY2017'!$F$5:$F$86)</f>
        <v>0</v>
      </c>
      <c r="H34" s="28">
        <f>-SUMIF('1.3 FY2018'!$B$5:$B$78,'2.1 Database'!$B34,'1.3 FY2018'!$F$5:$F$78)</f>
        <v>0</v>
      </c>
      <c r="J34" s="2" t="s">
        <v>230</v>
      </c>
    </row>
    <row r="35" spans="2:10" x14ac:dyDescent="0.25">
      <c r="B35" s="24" t="s">
        <v>147</v>
      </c>
      <c r="C35" s="6" t="str">
        <f>_xlfn.IFNA(INDEX('1.1 FY2016'!$B$5:$G$61,MATCH('2.1 Database'!$B35,'1.1 FY2016'!$B$5:$B$61,0),MATCH('2.1 Database'!C$3,'1.1 FY2016'!$B$4:$G$4,0)),_xlfn.IFNA(INDEX('1.2 FY2017'!$B$5:$G$86,MATCH('2.1 Database'!$B35,'1.2 FY2017'!$B$5:$B$86,0),MATCH('2.1 Database'!C$3,'1.2 FY2017'!$B$4:$G$4,0)),INDEX('1.3 FY2018'!$B$5:$G$78,MATCH('2.1 Database'!$B35,'1.3 FY2018'!$B$5:$B$78,0),MATCH('2.1 Database'!C$3,'1.3 FY2018'!$B$4:$G$4,0))))</f>
        <v>Service expenses</v>
      </c>
      <c r="D35" s="6" t="str">
        <f>_xlfn.IFNA(INDEX('1.1 FY2016'!$B$5:$G$61,MATCH('2.1 Database'!$B35,'1.1 FY2016'!$B$5:$B$61,0),MATCH('2.1 Database'!D$3,'1.1 FY2016'!$B$4:$G$4,0)),_xlfn.IFNA(INDEX('1.2 FY2017'!$B$5:$G$86,MATCH('2.1 Database'!$B35,'1.2 FY2017'!$B$5:$B$86,0),MATCH('2.1 Database'!D$3,'1.2 FY2017'!$B$4:$G$4,0)),INDEX('1.3 FY2018'!$B$5:$G$78,MATCH('2.1 Database'!$B35,'1.3 FY2018'!$B$5:$B$78,0),MATCH('2.1 Database'!D$3,'1.3 FY2018'!$B$4:$G$4,0))))</f>
        <v>2240</v>
      </c>
      <c r="E35" s="6" t="str">
        <f>_xlfn.IFNA(INDEX('1.1 FY2016'!$B$5:$G$61,MATCH('2.1 Database'!$B35,'1.1 FY2016'!$B$5:$B$61,0),MATCH('2.1 Database'!E$3,'1.1 FY2016'!$B$4:$G$4,0)),_xlfn.IFNA(INDEX('1.2 FY2017'!$B$5:$G$86,MATCH('2.1 Database'!$B35,'1.2 FY2017'!$B$5:$B$86,0),MATCH('2.1 Database'!E$3,'1.2 FY2017'!$B$4:$G$4,0)),INDEX('1.3 FY2018'!$B$5:$G$78,MATCH('2.1 Database'!$B35,'1.3 FY2018'!$B$5:$B$78,0),MATCH('2.1 Database'!E$3,'1.3 FY2018'!$B$4:$G$4,0))))</f>
        <v>Greeny Germany GmbH</v>
      </c>
      <c r="F35" s="28">
        <f>-SUMIF('1.1 FY2016'!$B$5:$B$61,'2.1 Database'!$B35,'1.1 FY2016'!$F$5:$F$61)</f>
        <v>-328061.886</v>
      </c>
      <c r="G35" s="28">
        <f>-SUMIF('1.2 FY2017'!$B$5:$B$86,'2.1 Database'!$B35,'1.2 FY2017'!$F$5:$F$86)</f>
        <v>-430845.34499999997</v>
      </c>
      <c r="H35" s="28">
        <f>-SUMIF('1.3 FY2018'!$B$5:$B$78,'2.1 Database'!$B35,'1.3 FY2018'!$F$5:$F$78)</f>
        <v>0</v>
      </c>
      <c r="J35" s="2" t="s">
        <v>230</v>
      </c>
    </row>
    <row r="36" spans="2:10" x14ac:dyDescent="0.25">
      <c r="B36" s="24" t="s">
        <v>148</v>
      </c>
      <c r="C36" s="6" t="str">
        <f>_xlfn.IFNA(INDEX('1.1 FY2016'!$B$5:$G$61,MATCH('2.1 Database'!$B36,'1.1 FY2016'!$B$5:$B$61,0),MATCH('2.1 Database'!C$3,'1.1 FY2016'!$B$4:$G$4,0)),_xlfn.IFNA(INDEX('1.2 FY2017'!$B$5:$G$86,MATCH('2.1 Database'!$B36,'1.2 FY2017'!$B$5:$B$86,0),MATCH('2.1 Database'!C$3,'1.2 FY2017'!$B$4:$G$4,0)),INDEX('1.3 FY2018'!$B$5:$G$78,MATCH('2.1 Database'!$B36,'1.3 FY2018'!$B$5:$B$78,0),MATCH('2.1 Database'!C$3,'1.3 FY2018'!$B$4:$G$4,0))))</f>
        <v>Service expenses</v>
      </c>
      <c r="D36" s="6">
        <f>_xlfn.IFNA(INDEX('1.1 FY2016'!$B$5:$G$61,MATCH('2.1 Database'!$B36,'1.1 FY2016'!$B$5:$B$61,0),MATCH('2.1 Database'!D$3,'1.1 FY2016'!$B$4:$G$4,0)),_xlfn.IFNA(INDEX('1.2 FY2017'!$B$5:$G$86,MATCH('2.1 Database'!$B36,'1.2 FY2017'!$B$5:$B$86,0),MATCH('2.1 Database'!D$3,'1.2 FY2017'!$B$4:$G$4,0)),INDEX('1.3 FY2018'!$B$5:$G$78,MATCH('2.1 Database'!$B36,'1.3 FY2018'!$B$5:$B$78,0),MATCH('2.1 Database'!D$3,'1.3 FY2018'!$B$4:$G$4,0))))</f>
        <v>111111</v>
      </c>
      <c r="E36" s="6" t="str">
        <f>_xlfn.IFNA(INDEX('1.1 FY2016'!$B$5:$G$61,MATCH('2.1 Database'!$B36,'1.1 FY2016'!$B$5:$B$61,0),MATCH('2.1 Database'!E$3,'1.1 FY2016'!$B$4:$G$4,0)),_xlfn.IFNA(INDEX('1.2 FY2017'!$B$5:$G$86,MATCH('2.1 Database'!$B36,'1.2 FY2017'!$B$5:$B$86,0),MATCH('2.1 Database'!E$3,'1.2 FY2017'!$B$4:$G$4,0)),INDEX('1.3 FY2018'!$B$5:$G$78,MATCH('2.1 Database'!$B36,'1.3 FY2018'!$B$5:$B$78,0),MATCH('2.1 Database'!E$3,'1.3 FY2018'!$B$4:$G$4,0))))</f>
        <v>External</v>
      </c>
      <c r="F36" s="28">
        <f>-SUMIF('1.1 FY2016'!$B$5:$B$61,'2.1 Database'!$B36,'1.1 FY2016'!$F$5:$F$61)</f>
        <v>-2081304.3219999997</v>
      </c>
      <c r="G36" s="28">
        <f>-SUMIF('1.2 FY2017'!$B$5:$B$86,'2.1 Database'!$B36,'1.2 FY2017'!$F$5:$F$86)</f>
        <v>-1130021</v>
      </c>
      <c r="H36" s="28">
        <f>-SUMIF('1.3 FY2018'!$B$5:$B$78,'2.1 Database'!$B36,'1.3 FY2018'!$F$5:$F$78)</f>
        <v>-1481408.47</v>
      </c>
      <c r="J36" s="2" t="s">
        <v>230</v>
      </c>
    </row>
    <row r="37" spans="2:10" x14ac:dyDescent="0.25">
      <c r="B37" s="24" t="s">
        <v>149</v>
      </c>
      <c r="C37" s="6" t="str">
        <f>_xlfn.IFNA(INDEX('1.1 FY2016'!$B$5:$G$61,MATCH('2.1 Database'!$B37,'1.1 FY2016'!$B$5:$B$61,0),MATCH('2.1 Database'!C$3,'1.1 FY2016'!$B$4:$G$4,0)),_xlfn.IFNA(INDEX('1.2 FY2017'!$B$5:$G$86,MATCH('2.1 Database'!$B37,'1.2 FY2017'!$B$5:$B$86,0),MATCH('2.1 Database'!C$3,'1.2 FY2017'!$B$4:$G$4,0)),INDEX('1.3 FY2018'!$B$5:$G$78,MATCH('2.1 Database'!$B37,'1.3 FY2018'!$B$5:$B$78,0),MATCH('2.1 Database'!C$3,'1.3 FY2018'!$B$4:$G$4,0))))</f>
        <v>Charges and contributions</v>
      </c>
      <c r="D37" s="6">
        <f>_xlfn.IFNA(INDEX('1.1 FY2016'!$B$5:$G$61,MATCH('2.1 Database'!$B37,'1.1 FY2016'!$B$5:$B$61,0),MATCH('2.1 Database'!D$3,'1.1 FY2016'!$B$4:$G$4,0)),_xlfn.IFNA(INDEX('1.2 FY2017'!$B$5:$G$86,MATCH('2.1 Database'!$B37,'1.2 FY2017'!$B$5:$B$86,0),MATCH('2.1 Database'!D$3,'1.2 FY2017'!$B$4:$G$4,0)),INDEX('1.3 FY2018'!$B$5:$G$78,MATCH('2.1 Database'!$B37,'1.3 FY2018'!$B$5:$B$78,0),MATCH('2.1 Database'!D$3,'1.3 FY2018'!$B$4:$G$4,0))))</f>
        <v>111111</v>
      </c>
      <c r="E37" s="6" t="str">
        <f>_xlfn.IFNA(INDEX('1.1 FY2016'!$B$5:$G$61,MATCH('2.1 Database'!$B37,'1.1 FY2016'!$B$5:$B$61,0),MATCH('2.1 Database'!E$3,'1.1 FY2016'!$B$4:$G$4,0)),_xlfn.IFNA(INDEX('1.2 FY2017'!$B$5:$G$86,MATCH('2.1 Database'!$B37,'1.2 FY2017'!$B$5:$B$86,0),MATCH('2.1 Database'!E$3,'1.2 FY2017'!$B$4:$G$4,0)),INDEX('1.3 FY2018'!$B$5:$G$78,MATCH('2.1 Database'!$B37,'1.3 FY2018'!$B$5:$B$78,0),MATCH('2.1 Database'!E$3,'1.3 FY2018'!$B$4:$G$4,0))))</f>
        <v>External</v>
      </c>
      <c r="F37" s="28">
        <f>-SUMIF('1.1 FY2016'!$B$5:$B$61,'2.1 Database'!$B37,'1.1 FY2016'!$F$5:$F$61)</f>
        <v>-33410.031999999999</v>
      </c>
      <c r="G37" s="28">
        <f>-SUMIF('1.2 FY2017'!$B$5:$B$86,'2.1 Database'!$B37,'1.2 FY2017'!$F$5:$F$86)</f>
        <v>-7293.5450000000001</v>
      </c>
      <c r="H37" s="28">
        <f>-SUMIF('1.3 FY2018'!$B$5:$B$78,'2.1 Database'!$B37,'1.3 FY2018'!$F$5:$F$78)</f>
        <v>-40048.799999999996</v>
      </c>
      <c r="J37" s="2" t="s">
        <v>226</v>
      </c>
    </row>
    <row r="38" spans="2:10" x14ac:dyDescent="0.25">
      <c r="B38" s="24" t="s">
        <v>150</v>
      </c>
      <c r="C38" s="6" t="str">
        <f>_xlfn.IFNA(INDEX('1.1 FY2016'!$B$5:$G$61,MATCH('2.1 Database'!$B38,'1.1 FY2016'!$B$5:$B$61,0),MATCH('2.1 Database'!C$3,'1.1 FY2016'!$B$4:$G$4,0)),_xlfn.IFNA(INDEX('1.2 FY2017'!$B$5:$G$86,MATCH('2.1 Database'!$B38,'1.2 FY2017'!$B$5:$B$86,0),MATCH('2.1 Database'!C$3,'1.2 FY2017'!$B$4:$G$4,0)),INDEX('1.3 FY2018'!$B$5:$G$78,MATCH('2.1 Database'!$B38,'1.3 FY2018'!$B$5:$B$78,0),MATCH('2.1 Database'!C$3,'1.3 FY2018'!$B$4:$G$4,0))))</f>
        <v>Insurance expenses</v>
      </c>
      <c r="D38" s="6">
        <f>_xlfn.IFNA(INDEX('1.1 FY2016'!$B$5:$G$61,MATCH('2.1 Database'!$B38,'1.1 FY2016'!$B$5:$B$61,0),MATCH('2.1 Database'!D$3,'1.1 FY2016'!$B$4:$G$4,0)),_xlfn.IFNA(INDEX('1.2 FY2017'!$B$5:$G$86,MATCH('2.1 Database'!$B38,'1.2 FY2017'!$B$5:$B$86,0),MATCH('2.1 Database'!D$3,'1.2 FY2017'!$B$4:$G$4,0)),INDEX('1.3 FY2018'!$B$5:$G$78,MATCH('2.1 Database'!$B38,'1.3 FY2018'!$B$5:$B$78,0),MATCH('2.1 Database'!D$3,'1.3 FY2018'!$B$4:$G$4,0))))</f>
        <v>111111</v>
      </c>
      <c r="E38" s="6" t="str">
        <f>_xlfn.IFNA(INDEX('1.1 FY2016'!$B$5:$G$61,MATCH('2.1 Database'!$B38,'1.1 FY2016'!$B$5:$B$61,0),MATCH('2.1 Database'!E$3,'1.1 FY2016'!$B$4:$G$4,0)),_xlfn.IFNA(INDEX('1.2 FY2017'!$B$5:$G$86,MATCH('2.1 Database'!$B38,'1.2 FY2017'!$B$5:$B$86,0),MATCH('2.1 Database'!E$3,'1.2 FY2017'!$B$4:$G$4,0)),INDEX('1.3 FY2018'!$B$5:$G$78,MATCH('2.1 Database'!$B38,'1.3 FY2018'!$B$5:$B$78,0),MATCH('2.1 Database'!E$3,'1.3 FY2018'!$B$4:$G$4,0))))</f>
        <v>External</v>
      </c>
      <c r="F38" s="28">
        <f>-SUMIF('1.1 FY2016'!$B$5:$B$61,'2.1 Database'!$B38,'1.1 FY2016'!$F$5:$F$61)</f>
        <v>-213090.85199999998</v>
      </c>
      <c r="G38" s="28">
        <f>-SUMIF('1.2 FY2017'!$B$5:$B$86,'2.1 Database'!$B38,'1.2 FY2017'!$F$5:$F$86)</f>
        <v>-48468.665000000001</v>
      </c>
      <c r="H38" s="28">
        <f>-SUMIF('1.3 FY2018'!$B$5:$B$78,'2.1 Database'!$B38,'1.3 FY2018'!$F$5:$F$78)</f>
        <v>-64039.82699999999</v>
      </c>
      <c r="J38" s="2" t="s">
        <v>226</v>
      </c>
    </row>
    <row r="39" spans="2:10" x14ac:dyDescent="0.25">
      <c r="B39" s="24" t="s">
        <v>151</v>
      </c>
      <c r="C39" s="6" t="str">
        <f>_xlfn.IFNA(INDEX('1.1 FY2016'!$B$5:$G$61,MATCH('2.1 Database'!$B39,'1.1 FY2016'!$B$5:$B$61,0),MATCH('2.1 Database'!C$3,'1.1 FY2016'!$B$4:$G$4,0)),_xlfn.IFNA(INDEX('1.2 FY2017'!$B$5:$G$86,MATCH('2.1 Database'!$B39,'1.2 FY2017'!$B$5:$B$86,0),MATCH('2.1 Database'!C$3,'1.2 FY2017'!$B$4:$G$4,0)),INDEX('1.3 FY2018'!$B$5:$G$78,MATCH('2.1 Database'!$B39,'1.3 FY2018'!$B$5:$B$78,0),MATCH('2.1 Database'!C$3,'1.3 FY2018'!$B$4:$G$4,0))))</f>
        <v>Travel expenses</v>
      </c>
      <c r="D39" s="6">
        <f>_xlfn.IFNA(INDEX('1.1 FY2016'!$B$5:$G$61,MATCH('2.1 Database'!$B39,'1.1 FY2016'!$B$5:$B$61,0),MATCH('2.1 Database'!D$3,'1.1 FY2016'!$B$4:$G$4,0)),_xlfn.IFNA(INDEX('1.2 FY2017'!$B$5:$G$86,MATCH('2.1 Database'!$B39,'1.2 FY2017'!$B$5:$B$86,0),MATCH('2.1 Database'!D$3,'1.2 FY2017'!$B$4:$G$4,0)),INDEX('1.3 FY2018'!$B$5:$G$78,MATCH('2.1 Database'!$B39,'1.3 FY2018'!$B$5:$B$78,0),MATCH('2.1 Database'!D$3,'1.3 FY2018'!$B$4:$G$4,0))))</f>
        <v>111111</v>
      </c>
      <c r="E39" s="6" t="str">
        <f>_xlfn.IFNA(INDEX('1.1 FY2016'!$B$5:$G$61,MATCH('2.1 Database'!$B39,'1.1 FY2016'!$B$5:$B$61,0),MATCH('2.1 Database'!E$3,'1.1 FY2016'!$B$4:$G$4,0)),_xlfn.IFNA(INDEX('1.2 FY2017'!$B$5:$G$86,MATCH('2.1 Database'!$B39,'1.2 FY2017'!$B$5:$B$86,0),MATCH('2.1 Database'!E$3,'1.2 FY2017'!$B$4:$G$4,0)),INDEX('1.3 FY2018'!$B$5:$G$78,MATCH('2.1 Database'!$B39,'1.3 FY2018'!$B$5:$B$78,0),MATCH('2.1 Database'!E$3,'1.3 FY2018'!$B$4:$G$4,0))))</f>
        <v>External</v>
      </c>
      <c r="F39" s="28">
        <f>-SUMIF('1.1 FY2016'!$B$5:$B$61,'2.1 Database'!$B39,'1.1 FY2016'!$F$5:$F$61)</f>
        <v>-1813525.004</v>
      </c>
      <c r="G39" s="28">
        <f>-SUMIF('1.2 FY2017'!$B$5:$B$86,'2.1 Database'!$B39,'1.2 FY2017'!$F$5:$F$86)</f>
        <v>-2393259.19</v>
      </c>
      <c r="H39" s="28">
        <f>-SUMIF('1.3 FY2018'!$B$5:$B$78,'2.1 Database'!$B39,'1.3 FY2018'!$F$5:$F$78)</f>
        <v>-2514431.8869999996</v>
      </c>
      <c r="J39" s="2" t="s">
        <v>231</v>
      </c>
    </row>
    <row r="40" spans="2:10" x14ac:dyDescent="0.25">
      <c r="B40" s="24" t="s">
        <v>152</v>
      </c>
      <c r="C40" s="6" t="str">
        <f>_xlfn.IFNA(INDEX('1.1 FY2016'!$B$5:$G$61,MATCH('2.1 Database'!$B40,'1.1 FY2016'!$B$5:$B$61,0),MATCH('2.1 Database'!C$3,'1.1 FY2016'!$B$4:$G$4,0)),_xlfn.IFNA(INDEX('1.2 FY2017'!$B$5:$G$86,MATCH('2.1 Database'!$B40,'1.2 FY2017'!$B$5:$B$86,0),MATCH('2.1 Database'!C$3,'1.2 FY2017'!$B$4:$G$4,0)),INDEX('1.3 FY2018'!$B$5:$G$78,MATCH('2.1 Database'!$B40,'1.3 FY2018'!$B$5:$B$78,0),MATCH('2.1 Database'!C$3,'1.3 FY2018'!$B$4:$G$4,0))))</f>
        <v>Utility expenses</v>
      </c>
      <c r="D40" s="6">
        <f>_xlfn.IFNA(INDEX('1.1 FY2016'!$B$5:$G$61,MATCH('2.1 Database'!$B40,'1.1 FY2016'!$B$5:$B$61,0),MATCH('2.1 Database'!D$3,'1.1 FY2016'!$B$4:$G$4,0)),_xlfn.IFNA(INDEX('1.2 FY2017'!$B$5:$G$86,MATCH('2.1 Database'!$B40,'1.2 FY2017'!$B$5:$B$86,0),MATCH('2.1 Database'!D$3,'1.2 FY2017'!$B$4:$G$4,0)),INDEX('1.3 FY2018'!$B$5:$G$78,MATCH('2.1 Database'!$B40,'1.3 FY2018'!$B$5:$B$78,0),MATCH('2.1 Database'!D$3,'1.3 FY2018'!$B$4:$G$4,0))))</f>
        <v>111111</v>
      </c>
      <c r="E40" s="6" t="str">
        <f>_xlfn.IFNA(INDEX('1.1 FY2016'!$B$5:$G$61,MATCH('2.1 Database'!$B40,'1.1 FY2016'!$B$5:$B$61,0),MATCH('2.1 Database'!E$3,'1.1 FY2016'!$B$4:$G$4,0)),_xlfn.IFNA(INDEX('1.2 FY2017'!$B$5:$G$86,MATCH('2.1 Database'!$B40,'1.2 FY2017'!$B$5:$B$86,0),MATCH('2.1 Database'!E$3,'1.2 FY2017'!$B$4:$G$4,0)),INDEX('1.3 FY2018'!$B$5:$G$78,MATCH('2.1 Database'!$B40,'1.3 FY2018'!$B$5:$B$78,0),MATCH('2.1 Database'!E$3,'1.3 FY2018'!$B$4:$G$4,0))))</f>
        <v>External</v>
      </c>
      <c r="F40" s="28">
        <f>-SUMIF('1.1 FY2016'!$B$5:$B$61,'2.1 Database'!$B40,'1.1 FY2016'!$F$5:$F$61)</f>
        <v>-5552.2</v>
      </c>
      <c r="G40" s="28">
        <f>-SUMIF('1.2 FY2017'!$B$5:$B$86,'2.1 Database'!$B40,'1.2 FY2017'!$F$5:$F$86)</f>
        <v>-23069.654999999999</v>
      </c>
      <c r="H40" s="28">
        <f>-SUMIF('1.3 FY2018'!$B$5:$B$78,'2.1 Database'!$B40,'1.3 FY2018'!$F$5:$F$78)</f>
        <v>-4194.2999999999993</v>
      </c>
      <c r="J40" s="2" t="s">
        <v>226</v>
      </c>
    </row>
    <row r="41" spans="2:10" x14ac:dyDescent="0.25">
      <c r="B41" s="24" t="s">
        <v>153</v>
      </c>
      <c r="C41" s="6" t="str">
        <f>_xlfn.IFNA(INDEX('1.1 FY2016'!$B$5:$G$61,MATCH('2.1 Database'!$B41,'1.1 FY2016'!$B$5:$B$61,0),MATCH('2.1 Database'!C$3,'1.1 FY2016'!$B$4:$G$4,0)),_xlfn.IFNA(INDEX('1.2 FY2017'!$B$5:$G$86,MATCH('2.1 Database'!$B41,'1.2 FY2017'!$B$5:$B$86,0),MATCH('2.1 Database'!C$3,'1.2 FY2017'!$B$4:$G$4,0)),INDEX('1.3 FY2018'!$B$5:$G$78,MATCH('2.1 Database'!$B41,'1.3 FY2018'!$B$5:$B$78,0),MATCH('2.1 Database'!C$3,'1.3 FY2018'!$B$4:$G$4,0))))</f>
        <v>Legal expenses</v>
      </c>
      <c r="D41" s="6">
        <f>_xlfn.IFNA(INDEX('1.1 FY2016'!$B$5:$G$61,MATCH('2.1 Database'!$B41,'1.1 FY2016'!$B$5:$B$61,0),MATCH('2.1 Database'!D$3,'1.1 FY2016'!$B$4:$G$4,0)),_xlfn.IFNA(INDEX('1.2 FY2017'!$B$5:$G$86,MATCH('2.1 Database'!$B41,'1.2 FY2017'!$B$5:$B$86,0),MATCH('2.1 Database'!D$3,'1.2 FY2017'!$B$4:$G$4,0)),INDEX('1.3 FY2018'!$B$5:$G$78,MATCH('2.1 Database'!$B41,'1.3 FY2018'!$B$5:$B$78,0),MATCH('2.1 Database'!D$3,'1.3 FY2018'!$B$4:$G$4,0))))</f>
        <v>111111</v>
      </c>
      <c r="E41" s="6" t="str">
        <f>_xlfn.IFNA(INDEX('1.1 FY2016'!$B$5:$G$61,MATCH('2.1 Database'!$B41,'1.1 FY2016'!$B$5:$B$61,0),MATCH('2.1 Database'!E$3,'1.1 FY2016'!$B$4:$G$4,0)),_xlfn.IFNA(INDEX('1.2 FY2017'!$B$5:$G$86,MATCH('2.1 Database'!$B41,'1.2 FY2017'!$B$5:$B$86,0),MATCH('2.1 Database'!E$3,'1.2 FY2017'!$B$4:$G$4,0)),INDEX('1.3 FY2018'!$B$5:$G$78,MATCH('2.1 Database'!$B41,'1.3 FY2018'!$B$5:$B$78,0),MATCH('2.1 Database'!E$3,'1.3 FY2018'!$B$4:$G$4,0))))</f>
        <v>External</v>
      </c>
      <c r="F41" s="28">
        <f>-SUMIF('1.1 FY2016'!$B$5:$B$61,'2.1 Database'!$B41,'1.1 FY2016'!$F$5:$F$61)</f>
        <v>-43868.975999999995</v>
      </c>
      <c r="G41" s="28">
        <f>-SUMIF('1.2 FY2017'!$B$5:$B$86,'2.1 Database'!$B41,'1.2 FY2017'!$F$5:$F$86)</f>
        <v>-208366.935</v>
      </c>
      <c r="H41" s="28">
        <f>-SUMIF('1.3 FY2018'!$B$5:$B$78,'2.1 Database'!$B41,'1.3 FY2018'!$F$5:$F$78)</f>
        <v>-106525.708</v>
      </c>
      <c r="J41" s="2" t="s">
        <v>226</v>
      </c>
    </row>
    <row r="42" spans="2:10" x14ac:dyDescent="0.25">
      <c r="B42" s="24" t="s">
        <v>154</v>
      </c>
      <c r="C42" s="6" t="str">
        <f>_xlfn.IFNA(INDEX('1.1 FY2016'!$B$5:$G$61,MATCH('2.1 Database'!$B42,'1.1 FY2016'!$B$5:$B$61,0),MATCH('2.1 Database'!C$3,'1.1 FY2016'!$B$4:$G$4,0)),_xlfn.IFNA(INDEX('1.2 FY2017'!$B$5:$G$86,MATCH('2.1 Database'!$B42,'1.2 FY2017'!$B$5:$B$86,0),MATCH('2.1 Database'!C$3,'1.2 FY2017'!$B$4:$G$4,0)),INDEX('1.3 FY2018'!$B$5:$G$78,MATCH('2.1 Database'!$B42,'1.3 FY2018'!$B$5:$B$78,0),MATCH('2.1 Database'!C$3,'1.3 FY2018'!$B$4:$G$4,0))))</f>
        <v>Misc costs</v>
      </c>
      <c r="D42" s="6">
        <f>_xlfn.IFNA(INDEX('1.1 FY2016'!$B$5:$G$61,MATCH('2.1 Database'!$B42,'1.1 FY2016'!$B$5:$B$61,0),MATCH('2.1 Database'!D$3,'1.1 FY2016'!$B$4:$G$4,0)),_xlfn.IFNA(INDEX('1.2 FY2017'!$B$5:$G$86,MATCH('2.1 Database'!$B42,'1.2 FY2017'!$B$5:$B$86,0),MATCH('2.1 Database'!D$3,'1.2 FY2017'!$B$4:$G$4,0)),INDEX('1.3 FY2018'!$B$5:$G$78,MATCH('2.1 Database'!$B42,'1.3 FY2018'!$B$5:$B$78,0),MATCH('2.1 Database'!D$3,'1.3 FY2018'!$B$4:$G$4,0))))</f>
        <v>111101</v>
      </c>
      <c r="E42" s="6" t="str">
        <f>_xlfn.IFNA(INDEX('1.1 FY2016'!$B$5:$G$61,MATCH('2.1 Database'!$B42,'1.1 FY2016'!$B$5:$B$61,0),MATCH('2.1 Database'!E$3,'1.1 FY2016'!$B$4:$G$4,0)),_xlfn.IFNA(INDEX('1.2 FY2017'!$B$5:$G$86,MATCH('2.1 Database'!$B42,'1.2 FY2017'!$B$5:$B$86,0),MATCH('2.1 Database'!E$3,'1.2 FY2017'!$B$4:$G$4,0)),INDEX('1.3 FY2018'!$B$5:$G$78,MATCH('2.1 Database'!$B42,'1.3 FY2018'!$B$5:$B$78,0),MATCH('2.1 Database'!E$3,'1.3 FY2018'!$B$4:$G$4,0))))</f>
        <v>Not assigned</v>
      </c>
      <c r="F42" s="28">
        <f>-SUMIF('1.1 FY2016'!$B$5:$B$61,'2.1 Database'!$B42,'1.1 FY2016'!$F$5:$F$61)</f>
        <v>-10934.671999999999</v>
      </c>
      <c r="G42" s="28">
        <f>-SUMIF('1.2 FY2017'!$B$5:$B$86,'2.1 Database'!$B42,'1.2 FY2017'!$F$5:$F$86)</f>
        <v>-20323.309999999998</v>
      </c>
      <c r="H42" s="28">
        <f>-SUMIF('1.3 FY2018'!$B$5:$B$78,'2.1 Database'!$B42,'1.3 FY2018'!$F$5:$F$78)</f>
        <v>-109811.284</v>
      </c>
      <c r="J42" s="2" t="s">
        <v>226</v>
      </c>
    </row>
    <row r="43" spans="2:10" x14ac:dyDescent="0.25">
      <c r="B43" s="24" t="s">
        <v>155</v>
      </c>
      <c r="C43" s="6" t="str">
        <f>_xlfn.IFNA(INDEX('1.1 FY2016'!$B$5:$G$61,MATCH('2.1 Database'!$B43,'1.1 FY2016'!$B$5:$B$61,0),MATCH('2.1 Database'!C$3,'1.1 FY2016'!$B$4:$G$4,0)),_xlfn.IFNA(INDEX('1.2 FY2017'!$B$5:$G$86,MATCH('2.1 Database'!$B43,'1.2 FY2017'!$B$5:$B$86,0),MATCH('2.1 Database'!C$3,'1.2 FY2017'!$B$4:$G$4,0)),INDEX('1.3 FY2018'!$B$5:$G$78,MATCH('2.1 Database'!$B43,'1.3 FY2018'!$B$5:$B$78,0),MATCH('2.1 Database'!C$3,'1.3 FY2018'!$B$4:$G$4,0))))</f>
        <v>Consulting fees</v>
      </c>
      <c r="D43" s="6">
        <f>_xlfn.IFNA(INDEX('1.1 FY2016'!$B$5:$G$61,MATCH('2.1 Database'!$B43,'1.1 FY2016'!$B$5:$B$61,0),MATCH('2.1 Database'!D$3,'1.1 FY2016'!$B$4:$G$4,0)),_xlfn.IFNA(INDEX('1.2 FY2017'!$B$5:$G$86,MATCH('2.1 Database'!$B43,'1.2 FY2017'!$B$5:$B$86,0),MATCH('2.1 Database'!D$3,'1.2 FY2017'!$B$4:$G$4,0)),INDEX('1.3 FY2018'!$B$5:$G$78,MATCH('2.1 Database'!$B43,'1.3 FY2018'!$B$5:$B$78,0),MATCH('2.1 Database'!D$3,'1.3 FY2018'!$B$4:$G$4,0))))</f>
        <v>111111</v>
      </c>
      <c r="E43" s="6" t="str">
        <f>_xlfn.IFNA(INDEX('1.1 FY2016'!$B$5:$G$61,MATCH('2.1 Database'!$B43,'1.1 FY2016'!$B$5:$B$61,0),MATCH('2.1 Database'!E$3,'1.1 FY2016'!$B$4:$G$4,0)),_xlfn.IFNA(INDEX('1.2 FY2017'!$B$5:$G$86,MATCH('2.1 Database'!$B43,'1.2 FY2017'!$B$5:$B$86,0),MATCH('2.1 Database'!E$3,'1.2 FY2017'!$B$4:$G$4,0)),INDEX('1.3 FY2018'!$B$5:$G$78,MATCH('2.1 Database'!$B43,'1.3 FY2018'!$B$5:$B$78,0),MATCH('2.1 Database'!E$3,'1.3 FY2018'!$B$4:$G$4,0))))</f>
        <v>External</v>
      </c>
      <c r="F43" s="28">
        <f>-SUMIF('1.1 FY2016'!$B$5:$B$61,'2.1 Database'!$B43,'1.1 FY2016'!$F$5:$F$61)</f>
        <v>-20400</v>
      </c>
      <c r="G43" s="28">
        <f>-SUMIF('1.2 FY2017'!$B$5:$B$86,'2.1 Database'!$B43,'1.2 FY2017'!$F$5:$F$86)</f>
        <v>-169489</v>
      </c>
      <c r="H43" s="28">
        <f>-SUMIF('1.3 FY2018'!$B$5:$B$78,'2.1 Database'!$B43,'1.3 FY2018'!$F$5:$F$78)</f>
        <v>-61111.483999999997</v>
      </c>
      <c r="J43" s="2" t="s">
        <v>226</v>
      </c>
    </row>
    <row r="44" spans="2:10" x14ac:dyDescent="0.25">
      <c r="B44" s="24" t="s">
        <v>156</v>
      </c>
      <c r="C44" s="6" t="str">
        <f>_xlfn.IFNA(INDEX('1.1 FY2016'!$B$5:$G$61,MATCH('2.1 Database'!$B44,'1.1 FY2016'!$B$5:$B$61,0),MATCH('2.1 Database'!C$3,'1.1 FY2016'!$B$4:$G$4,0)),_xlfn.IFNA(INDEX('1.2 FY2017'!$B$5:$G$86,MATCH('2.1 Database'!$B44,'1.2 FY2017'!$B$5:$B$86,0),MATCH('2.1 Database'!C$3,'1.2 FY2017'!$B$4:$G$4,0)),INDEX('1.3 FY2018'!$B$5:$G$78,MATCH('2.1 Database'!$B44,'1.3 FY2018'!$B$5:$B$78,0),MATCH('2.1 Database'!C$3,'1.3 FY2018'!$B$4:$G$4,0))))</f>
        <v>Misc extraordinary expenses</v>
      </c>
      <c r="D44" s="6">
        <f>_xlfn.IFNA(INDEX('1.1 FY2016'!$B$5:$G$61,MATCH('2.1 Database'!$B44,'1.1 FY2016'!$B$5:$B$61,0),MATCH('2.1 Database'!D$3,'1.1 FY2016'!$B$4:$G$4,0)),_xlfn.IFNA(INDEX('1.2 FY2017'!$B$5:$G$86,MATCH('2.1 Database'!$B44,'1.2 FY2017'!$B$5:$B$86,0),MATCH('2.1 Database'!D$3,'1.2 FY2017'!$B$4:$G$4,0)),INDEX('1.3 FY2018'!$B$5:$G$78,MATCH('2.1 Database'!$B44,'1.3 FY2018'!$B$5:$B$78,0),MATCH('2.1 Database'!D$3,'1.3 FY2018'!$B$4:$G$4,0))))</f>
        <v>105</v>
      </c>
      <c r="E44" s="6" t="str">
        <f>_xlfn.IFNA(INDEX('1.1 FY2016'!$B$5:$G$61,MATCH('2.1 Database'!$B44,'1.1 FY2016'!$B$5:$B$61,0),MATCH('2.1 Database'!E$3,'1.1 FY2016'!$B$4:$G$4,0)),_xlfn.IFNA(INDEX('1.2 FY2017'!$B$5:$G$86,MATCH('2.1 Database'!$B44,'1.2 FY2017'!$B$5:$B$86,0),MATCH('2.1 Database'!E$3,'1.2 FY2017'!$B$4:$G$4,0)),INDEX('1.3 FY2018'!$B$5:$G$78,MATCH('2.1 Database'!$B44,'1.3 FY2018'!$B$5:$B$78,0),MATCH('2.1 Database'!E$3,'1.3 FY2018'!$B$4:$G$4,0))))</f>
        <v>Generco Healthcare Ltd</v>
      </c>
      <c r="F44" s="28">
        <f>-SUMIF('1.1 FY2016'!$B$5:$B$61,'2.1 Database'!$B44,'1.1 FY2016'!$F$5:$F$61)</f>
        <v>0</v>
      </c>
      <c r="G44" s="28">
        <f>-SUMIF('1.2 FY2017'!$B$5:$B$86,'2.1 Database'!$B44,'1.2 FY2017'!$F$5:$F$86)</f>
        <v>0</v>
      </c>
      <c r="H44" s="28">
        <f>-SUMIF('1.3 FY2018'!$B$5:$B$78,'2.1 Database'!$B44,'1.3 FY2018'!$F$5:$F$78)</f>
        <v>-1684415.2999999998</v>
      </c>
      <c r="J44" s="2" t="s">
        <v>226</v>
      </c>
    </row>
    <row r="45" spans="2:10" x14ac:dyDescent="0.25">
      <c r="B45" s="24" t="s">
        <v>157</v>
      </c>
      <c r="C45" s="6" t="str">
        <f>_xlfn.IFNA(INDEX('1.1 FY2016'!$B$5:$G$61,MATCH('2.1 Database'!$B45,'1.1 FY2016'!$B$5:$B$61,0),MATCH('2.1 Database'!C$3,'1.1 FY2016'!$B$4:$G$4,0)),_xlfn.IFNA(INDEX('1.2 FY2017'!$B$5:$G$86,MATCH('2.1 Database'!$B45,'1.2 FY2017'!$B$5:$B$86,0),MATCH('2.1 Database'!C$3,'1.2 FY2017'!$B$4:$G$4,0)),INDEX('1.3 FY2018'!$B$5:$G$78,MATCH('2.1 Database'!$B45,'1.3 FY2018'!$B$5:$B$78,0),MATCH('2.1 Database'!C$3,'1.3 FY2018'!$B$4:$G$4,0))))</f>
        <v>Misc extraordinary expenses</v>
      </c>
      <c r="D45" s="6">
        <f>_xlfn.IFNA(INDEX('1.1 FY2016'!$B$5:$G$61,MATCH('2.1 Database'!$B45,'1.1 FY2016'!$B$5:$B$61,0),MATCH('2.1 Database'!D$3,'1.1 FY2016'!$B$4:$G$4,0)),_xlfn.IFNA(INDEX('1.2 FY2017'!$B$5:$G$86,MATCH('2.1 Database'!$B45,'1.2 FY2017'!$B$5:$B$86,0),MATCH('2.1 Database'!D$3,'1.2 FY2017'!$B$4:$G$4,0)),INDEX('1.3 FY2018'!$B$5:$G$78,MATCH('2.1 Database'!$B45,'1.3 FY2018'!$B$5:$B$78,0),MATCH('2.1 Database'!D$3,'1.3 FY2018'!$B$4:$G$4,0))))</f>
        <v>111111</v>
      </c>
      <c r="E45" s="6" t="str">
        <f>_xlfn.IFNA(INDEX('1.1 FY2016'!$B$5:$G$61,MATCH('2.1 Database'!$B45,'1.1 FY2016'!$B$5:$B$61,0),MATCH('2.1 Database'!E$3,'1.1 FY2016'!$B$4:$G$4,0)),_xlfn.IFNA(INDEX('1.2 FY2017'!$B$5:$G$86,MATCH('2.1 Database'!$B45,'1.2 FY2017'!$B$5:$B$86,0),MATCH('2.1 Database'!E$3,'1.2 FY2017'!$B$4:$G$4,0)),INDEX('1.3 FY2018'!$B$5:$G$78,MATCH('2.1 Database'!$B45,'1.3 FY2018'!$B$5:$B$78,0),MATCH('2.1 Database'!E$3,'1.3 FY2018'!$B$4:$G$4,0))))</f>
        <v>External</v>
      </c>
      <c r="F45" s="28">
        <f>-SUMIF('1.1 FY2016'!$B$5:$B$61,'2.1 Database'!$B45,'1.1 FY2016'!$F$5:$F$61)</f>
        <v>-563918.152</v>
      </c>
      <c r="G45" s="28">
        <f>-SUMIF('1.2 FY2017'!$B$5:$B$86,'2.1 Database'!$B45,'1.2 FY2017'!$F$5:$F$86)</f>
        <v>-638869.13</v>
      </c>
      <c r="H45" s="28">
        <f>-SUMIF('1.3 FY2018'!$B$5:$B$78,'2.1 Database'!$B45,'1.3 FY2018'!$F$5:$F$78)</f>
        <v>-575626.2649999999</v>
      </c>
      <c r="J45" s="2" t="s">
        <v>226</v>
      </c>
    </row>
    <row r="46" spans="2:10" x14ac:dyDescent="0.25">
      <c r="B46" s="24" t="s">
        <v>158</v>
      </c>
      <c r="C46" s="6" t="str">
        <f>_xlfn.IFNA(INDEX('1.1 FY2016'!$B$5:$G$61,MATCH('2.1 Database'!$B46,'1.1 FY2016'!$B$5:$B$61,0),MATCH('2.1 Database'!C$3,'1.1 FY2016'!$B$4:$G$4,0)),_xlfn.IFNA(INDEX('1.2 FY2017'!$B$5:$G$86,MATCH('2.1 Database'!$B46,'1.2 FY2017'!$B$5:$B$86,0),MATCH('2.1 Database'!C$3,'1.2 FY2017'!$B$4:$G$4,0)),INDEX('1.3 FY2018'!$B$5:$G$78,MATCH('2.1 Database'!$B46,'1.3 FY2018'!$B$5:$B$78,0),MATCH('2.1 Database'!C$3,'1.3 FY2018'!$B$4:$G$4,0))))</f>
        <v>Difference from eliminations</v>
      </c>
      <c r="D46" s="6">
        <f>_xlfn.IFNA(INDEX('1.1 FY2016'!$B$5:$G$61,MATCH('2.1 Database'!$B46,'1.1 FY2016'!$B$5:$B$61,0),MATCH('2.1 Database'!D$3,'1.1 FY2016'!$B$4:$G$4,0)),_xlfn.IFNA(INDEX('1.2 FY2017'!$B$5:$G$86,MATCH('2.1 Database'!$B46,'1.2 FY2017'!$B$5:$B$86,0),MATCH('2.1 Database'!D$3,'1.2 FY2017'!$B$4:$G$4,0)),INDEX('1.3 FY2018'!$B$5:$G$78,MATCH('2.1 Database'!$B46,'1.3 FY2018'!$B$5:$B$78,0),MATCH('2.1 Database'!D$3,'1.3 FY2018'!$B$4:$G$4,0))))</f>
        <v>1009</v>
      </c>
      <c r="E46" s="6" t="str">
        <f>_xlfn.IFNA(INDEX('1.1 FY2016'!$B$5:$G$61,MATCH('2.1 Database'!$B46,'1.1 FY2016'!$B$5:$B$61,0),MATCH('2.1 Database'!E$3,'1.1 FY2016'!$B$4:$G$4,0)),_xlfn.IFNA(INDEX('1.2 FY2017'!$B$5:$G$86,MATCH('2.1 Database'!$B46,'1.2 FY2017'!$B$5:$B$86,0),MATCH('2.1 Database'!E$3,'1.2 FY2017'!$B$4:$G$4,0)),INDEX('1.3 FY2018'!$B$5:$G$78,MATCH('2.1 Database'!$B46,'1.3 FY2018'!$B$5:$B$78,0),MATCH('2.1 Database'!E$3,'1.3 FY2018'!$B$4:$G$4,0))))</f>
        <v>Green Ventures Ltd</v>
      </c>
      <c r="F46" s="28">
        <f>-SUMIF('1.1 FY2016'!$B$5:$B$61,'2.1 Database'!$B46,'1.1 FY2016'!$F$5:$F$61)</f>
        <v>0</v>
      </c>
      <c r="G46" s="28">
        <f>-SUMIF('1.2 FY2017'!$B$5:$B$86,'2.1 Database'!$B46,'1.2 FY2017'!$F$5:$F$86)</f>
        <v>0</v>
      </c>
      <c r="H46" s="28">
        <f>-SUMIF('1.3 FY2018'!$B$5:$B$78,'2.1 Database'!$B46,'1.3 FY2018'!$F$5:$F$78)</f>
        <v>0</v>
      </c>
      <c r="J46" s="2">
        <v>0</v>
      </c>
    </row>
    <row r="47" spans="2:10" x14ac:dyDescent="0.25">
      <c r="B47" s="24" t="s">
        <v>159</v>
      </c>
      <c r="C47" s="6" t="str">
        <f>_xlfn.IFNA(INDEX('1.1 FY2016'!$B$5:$G$61,MATCH('2.1 Database'!$B47,'1.1 FY2016'!$B$5:$B$61,0),MATCH('2.1 Database'!C$3,'1.1 FY2016'!$B$4:$G$4,0)),_xlfn.IFNA(INDEX('1.2 FY2017'!$B$5:$G$86,MATCH('2.1 Database'!$B47,'1.2 FY2017'!$B$5:$B$86,0),MATCH('2.1 Database'!C$3,'1.2 FY2017'!$B$4:$G$4,0)),INDEX('1.3 FY2018'!$B$5:$G$78,MATCH('2.1 Database'!$B47,'1.3 FY2018'!$B$5:$B$78,0),MATCH('2.1 Database'!C$3,'1.3 FY2018'!$B$4:$G$4,0))))</f>
        <v>Difference from eliminations</v>
      </c>
      <c r="D47" s="6">
        <f>_xlfn.IFNA(INDEX('1.1 FY2016'!$B$5:$G$61,MATCH('2.1 Database'!$B47,'1.1 FY2016'!$B$5:$B$61,0),MATCH('2.1 Database'!D$3,'1.1 FY2016'!$B$4:$G$4,0)),_xlfn.IFNA(INDEX('1.2 FY2017'!$B$5:$G$86,MATCH('2.1 Database'!$B47,'1.2 FY2017'!$B$5:$B$86,0),MATCH('2.1 Database'!D$3,'1.2 FY2017'!$B$4:$G$4,0)),INDEX('1.3 FY2018'!$B$5:$G$78,MATCH('2.1 Database'!$B47,'1.3 FY2018'!$B$5:$B$78,0),MATCH('2.1 Database'!D$3,'1.3 FY2018'!$B$4:$G$4,0))))</f>
        <v>1007</v>
      </c>
      <c r="E47" s="6" t="str">
        <f>_xlfn.IFNA(INDEX('1.1 FY2016'!$B$5:$G$61,MATCH('2.1 Database'!$B47,'1.1 FY2016'!$B$5:$B$61,0),MATCH('2.1 Database'!E$3,'1.1 FY2016'!$B$4:$G$4,0)),_xlfn.IFNA(INDEX('1.2 FY2017'!$B$5:$G$86,MATCH('2.1 Database'!$B47,'1.2 FY2017'!$B$5:$B$86,0),MATCH('2.1 Database'!E$3,'1.2 FY2017'!$B$4:$G$4,0)),INDEX('1.3 FY2018'!$B$5:$G$78,MATCH('2.1 Database'!$B47,'1.3 FY2018'!$B$5:$B$78,0),MATCH('2.1 Database'!E$3,'1.3 FY2018'!$B$4:$G$4,0))))</f>
        <v>Generco Sunshine JSC</v>
      </c>
      <c r="F47" s="28">
        <f>-SUMIF('1.1 FY2016'!$B$5:$B$61,'2.1 Database'!$B47,'1.1 FY2016'!$F$5:$F$61)</f>
        <v>0</v>
      </c>
      <c r="G47" s="28">
        <f>-SUMIF('1.2 FY2017'!$B$5:$B$86,'2.1 Database'!$B47,'1.2 FY2017'!$F$5:$F$86)</f>
        <v>0</v>
      </c>
      <c r="H47" s="28">
        <f>-SUMIF('1.3 FY2018'!$B$5:$B$78,'2.1 Database'!$B47,'1.3 FY2018'!$F$5:$F$78)</f>
        <v>0</v>
      </c>
      <c r="J47" s="2">
        <v>0</v>
      </c>
    </row>
    <row r="48" spans="2:10" x14ac:dyDescent="0.25">
      <c r="B48" s="24" t="s">
        <v>160</v>
      </c>
      <c r="C48" s="6" t="str">
        <f>_xlfn.IFNA(INDEX('1.1 FY2016'!$B$5:$G$61,MATCH('2.1 Database'!$B48,'1.1 FY2016'!$B$5:$B$61,0),MATCH('2.1 Database'!C$3,'1.1 FY2016'!$B$4:$G$4,0)),_xlfn.IFNA(INDEX('1.2 FY2017'!$B$5:$G$86,MATCH('2.1 Database'!$B48,'1.2 FY2017'!$B$5:$B$86,0),MATCH('2.1 Database'!C$3,'1.2 FY2017'!$B$4:$G$4,0)),INDEX('1.3 FY2018'!$B$5:$G$78,MATCH('2.1 Database'!$B48,'1.3 FY2018'!$B$5:$B$78,0),MATCH('2.1 Database'!C$3,'1.3 FY2018'!$B$4:$G$4,0))))</f>
        <v>Difference from eliminations</v>
      </c>
      <c r="D48" s="6">
        <f>_xlfn.IFNA(INDEX('1.1 FY2016'!$B$5:$G$61,MATCH('2.1 Database'!$B48,'1.1 FY2016'!$B$5:$B$61,0),MATCH('2.1 Database'!D$3,'1.1 FY2016'!$B$4:$G$4,0)),_xlfn.IFNA(INDEX('1.2 FY2017'!$B$5:$G$86,MATCH('2.1 Database'!$B48,'1.2 FY2017'!$B$5:$B$86,0),MATCH('2.1 Database'!D$3,'1.2 FY2017'!$B$4:$G$4,0)),INDEX('1.3 FY2018'!$B$5:$G$78,MATCH('2.1 Database'!$B48,'1.3 FY2018'!$B$5:$B$78,0),MATCH('2.1 Database'!D$3,'1.3 FY2018'!$B$4:$G$4,0))))</f>
        <v>1008</v>
      </c>
      <c r="E48" s="6" t="str">
        <f>_xlfn.IFNA(INDEX('1.1 FY2016'!$B$5:$G$61,MATCH('2.1 Database'!$B48,'1.1 FY2016'!$B$5:$B$61,0),MATCH('2.1 Database'!E$3,'1.1 FY2016'!$B$4:$G$4,0)),_xlfn.IFNA(INDEX('1.2 FY2017'!$B$5:$G$86,MATCH('2.1 Database'!$B48,'1.2 FY2017'!$B$5:$B$86,0),MATCH('2.1 Database'!E$3,'1.2 FY2017'!$B$4:$G$4,0)),INDEX('1.3 FY2018'!$B$5:$G$78,MATCH('2.1 Database'!$B48,'1.3 FY2018'!$B$5:$B$78,0),MATCH('2.1 Database'!E$3,'1.3 FY2018'!$B$4:$G$4,0))))</f>
        <v>Greenco Ltd</v>
      </c>
      <c r="F48" s="28">
        <f>-SUMIF('1.1 FY2016'!$B$5:$B$61,'2.1 Database'!$B48,'1.1 FY2016'!$F$5:$F$61)</f>
        <v>0</v>
      </c>
      <c r="G48" s="28">
        <f>-SUMIF('1.2 FY2017'!$B$5:$B$86,'2.1 Database'!$B48,'1.2 FY2017'!$F$5:$F$86)</f>
        <v>0</v>
      </c>
      <c r="H48" s="28">
        <f>-SUMIF('1.3 FY2018'!$B$5:$B$78,'2.1 Database'!$B48,'1.3 FY2018'!$F$5:$F$78)</f>
        <v>0</v>
      </c>
      <c r="J48" s="2">
        <v>0</v>
      </c>
    </row>
    <row r="49" spans="2:10" x14ac:dyDescent="0.25">
      <c r="B49" s="24" t="s">
        <v>161</v>
      </c>
      <c r="C49" s="6" t="str">
        <f>_xlfn.IFNA(INDEX('1.1 FY2016'!$B$5:$G$61,MATCH('2.1 Database'!$B49,'1.1 FY2016'!$B$5:$B$61,0),MATCH('2.1 Database'!C$3,'1.1 FY2016'!$B$4:$G$4,0)),_xlfn.IFNA(INDEX('1.2 FY2017'!$B$5:$G$86,MATCH('2.1 Database'!$B49,'1.2 FY2017'!$B$5:$B$86,0),MATCH('2.1 Database'!C$3,'1.2 FY2017'!$B$4:$G$4,0)),INDEX('1.3 FY2018'!$B$5:$G$78,MATCH('2.1 Database'!$B49,'1.3 FY2018'!$B$5:$B$78,0),MATCH('2.1 Database'!C$3,'1.3 FY2018'!$B$4:$G$4,0))))</f>
        <v>Interest income</v>
      </c>
      <c r="D49" s="6">
        <f>_xlfn.IFNA(INDEX('1.1 FY2016'!$B$5:$G$61,MATCH('2.1 Database'!$B49,'1.1 FY2016'!$B$5:$B$61,0),MATCH('2.1 Database'!D$3,'1.1 FY2016'!$B$4:$G$4,0)),_xlfn.IFNA(INDEX('1.2 FY2017'!$B$5:$G$86,MATCH('2.1 Database'!$B49,'1.2 FY2017'!$B$5:$B$86,0),MATCH('2.1 Database'!D$3,'1.2 FY2017'!$B$4:$G$4,0)),INDEX('1.3 FY2018'!$B$5:$G$78,MATCH('2.1 Database'!$B49,'1.3 FY2018'!$B$5:$B$78,0),MATCH('2.1 Database'!D$3,'1.3 FY2018'!$B$4:$G$4,0))))</f>
        <v>1009</v>
      </c>
      <c r="E49" s="6" t="str">
        <f>_xlfn.IFNA(INDEX('1.1 FY2016'!$B$5:$G$61,MATCH('2.1 Database'!$B49,'1.1 FY2016'!$B$5:$B$61,0),MATCH('2.1 Database'!E$3,'1.1 FY2016'!$B$4:$G$4,0)),_xlfn.IFNA(INDEX('1.2 FY2017'!$B$5:$G$86,MATCH('2.1 Database'!$B49,'1.2 FY2017'!$B$5:$B$86,0),MATCH('2.1 Database'!E$3,'1.2 FY2017'!$B$4:$G$4,0)),INDEX('1.3 FY2018'!$B$5:$G$78,MATCH('2.1 Database'!$B49,'1.3 FY2018'!$B$5:$B$78,0),MATCH('2.1 Database'!E$3,'1.3 FY2018'!$B$4:$G$4,0))))</f>
        <v>Green Ventures Ltd</v>
      </c>
      <c r="F49" s="28">
        <f>-SUMIF('1.1 FY2016'!$B$5:$B$61,'2.1 Database'!$B49,'1.1 FY2016'!$F$5:$F$61)</f>
        <v>0</v>
      </c>
      <c r="G49" s="28">
        <f>-SUMIF('1.2 FY2017'!$B$5:$B$86,'2.1 Database'!$B49,'1.2 FY2017'!$F$5:$F$86)</f>
        <v>0</v>
      </c>
      <c r="H49" s="28">
        <f>-SUMIF('1.3 FY2018'!$B$5:$B$78,'2.1 Database'!$B49,'1.3 FY2018'!$F$5:$F$78)</f>
        <v>0</v>
      </c>
      <c r="J49" s="2" t="s">
        <v>232</v>
      </c>
    </row>
    <row r="50" spans="2:10" x14ac:dyDescent="0.25">
      <c r="B50" s="24" t="s">
        <v>162</v>
      </c>
      <c r="C50" s="6" t="str">
        <f>_xlfn.IFNA(INDEX('1.1 FY2016'!$B$5:$G$61,MATCH('2.1 Database'!$B50,'1.1 FY2016'!$B$5:$B$61,0),MATCH('2.1 Database'!C$3,'1.1 FY2016'!$B$4:$G$4,0)),_xlfn.IFNA(INDEX('1.2 FY2017'!$B$5:$G$86,MATCH('2.1 Database'!$B50,'1.2 FY2017'!$B$5:$B$86,0),MATCH('2.1 Database'!C$3,'1.2 FY2017'!$B$4:$G$4,0)),INDEX('1.3 FY2018'!$B$5:$G$78,MATCH('2.1 Database'!$B50,'1.3 FY2018'!$B$5:$B$78,0),MATCH('2.1 Database'!C$3,'1.3 FY2018'!$B$4:$G$4,0))))</f>
        <v>Interest income</v>
      </c>
      <c r="D50" s="6">
        <f>_xlfn.IFNA(INDEX('1.1 FY2016'!$B$5:$G$61,MATCH('2.1 Database'!$B50,'1.1 FY2016'!$B$5:$B$61,0),MATCH('2.1 Database'!D$3,'1.1 FY2016'!$B$4:$G$4,0)),_xlfn.IFNA(INDEX('1.2 FY2017'!$B$5:$G$86,MATCH('2.1 Database'!$B50,'1.2 FY2017'!$B$5:$B$86,0),MATCH('2.1 Database'!D$3,'1.2 FY2017'!$B$4:$G$4,0)),INDEX('1.3 FY2018'!$B$5:$G$78,MATCH('2.1 Database'!$B50,'1.3 FY2018'!$B$5:$B$78,0),MATCH('2.1 Database'!D$3,'1.3 FY2018'!$B$4:$G$4,0))))</f>
        <v>1007</v>
      </c>
      <c r="E50" s="6" t="str">
        <f>_xlfn.IFNA(INDEX('1.1 FY2016'!$B$5:$G$61,MATCH('2.1 Database'!$B50,'1.1 FY2016'!$B$5:$B$61,0),MATCH('2.1 Database'!E$3,'1.1 FY2016'!$B$4:$G$4,0)),_xlfn.IFNA(INDEX('1.2 FY2017'!$B$5:$G$86,MATCH('2.1 Database'!$B50,'1.2 FY2017'!$B$5:$B$86,0),MATCH('2.1 Database'!E$3,'1.2 FY2017'!$B$4:$G$4,0)),INDEX('1.3 FY2018'!$B$5:$G$78,MATCH('2.1 Database'!$B50,'1.3 FY2018'!$B$5:$B$78,0),MATCH('2.1 Database'!E$3,'1.3 FY2018'!$B$4:$G$4,0))))</f>
        <v>Generco Sunshine JSC</v>
      </c>
      <c r="F50" s="28">
        <f>-SUMIF('1.1 FY2016'!$B$5:$B$61,'2.1 Database'!$B50,'1.1 FY2016'!$F$5:$F$61)</f>
        <v>0</v>
      </c>
      <c r="G50" s="28">
        <f>-SUMIF('1.2 FY2017'!$B$5:$B$86,'2.1 Database'!$B50,'1.2 FY2017'!$F$5:$F$86)</f>
        <v>0</v>
      </c>
      <c r="H50" s="28">
        <f>-SUMIF('1.3 FY2018'!$B$5:$B$78,'2.1 Database'!$B50,'1.3 FY2018'!$F$5:$F$78)</f>
        <v>0</v>
      </c>
      <c r="J50" s="2" t="s">
        <v>232</v>
      </c>
    </row>
    <row r="51" spans="2:10" x14ac:dyDescent="0.25">
      <c r="B51" s="24" t="s">
        <v>163</v>
      </c>
      <c r="C51" s="6" t="str">
        <f>_xlfn.IFNA(INDEX('1.1 FY2016'!$B$5:$G$61,MATCH('2.1 Database'!$B51,'1.1 FY2016'!$B$5:$B$61,0),MATCH('2.1 Database'!C$3,'1.1 FY2016'!$B$4:$G$4,0)),_xlfn.IFNA(INDEX('1.2 FY2017'!$B$5:$G$86,MATCH('2.1 Database'!$B51,'1.2 FY2017'!$B$5:$B$86,0),MATCH('2.1 Database'!C$3,'1.2 FY2017'!$B$4:$G$4,0)),INDEX('1.3 FY2018'!$B$5:$G$78,MATCH('2.1 Database'!$B51,'1.3 FY2018'!$B$5:$B$78,0),MATCH('2.1 Database'!C$3,'1.3 FY2018'!$B$4:$G$4,0))))</f>
        <v>Interest income</v>
      </c>
      <c r="D51" s="6">
        <f>_xlfn.IFNA(INDEX('1.1 FY2016'!$B$5:$G$61,MATCH('2.1 Database'!$B51,'1.1 FY2016'!$B$5:$B$61,0),MATCH('2.1 Database'!D$3,'1.1 FY2016'!$B$4:$G$4,0)),_xlfn.IFNA(INDEX('1.2 FY2017'!$B$5:$G$86,MATCH('2.1 Database'!$B51,'1.2 FY2017'!$B$5:$B$86,0),MATCH('2.1 Database'!D$3,'1.2 FY2017'!$B$4:$G$4,0)),INDEX('1.3 FY2018'!$B$5:$G$78,MATCH('2.1 Database'!$B51,'1.3 FY2018'!$B$5:$B$78,0),MATCH('2.1 Database'!D$3,'1.3 FY2018'!$B$4:$G$4,0))))</f>
        <v>1008</v>
      </c>
      <c r="E51" s="6" t="str">
        <f>_xlfn.IFNA(INDEX('1.1 FY2016'!$B$5:$G$61,MATCH('2.1 Database'!$B51,'1.1 FY2016'!$B$5:$B$61,0),MATCH('2.1 Database'!E$3,'1.1 FY2016'!$B$4:$G$4,0)),_xlfn.IFNA(INDEX('1.2 FY2017'!$B$5:$G$86,MATCH('2.1 Database'!$B51,'1.2 FY2017'!$B$5:$B$86,0),MATCH('2.1 Database'!E$3,'1.2 FY2017'!$B$4:$G$4,0)),INDEX('1.3 FY2018'!$B$5:$G$78,MATCH('2.1 Database'!$B51,'1.3 FY2018'!$B$5:$B$78,0),MATCH('2.1 Database'!E$3,'1.3 FY2018'!$B$4:$G$4,0))))</f>
        <v>Greenco Ltd</v>
      </c>
      <c r="F51" s="28">
        <f>-SUMIF('1.1 FY2016'!$B$5:$B$61,'2.1 Database'!$B51,'1.1 FY2016'!$F$5:$F$61)</f>
        <v>0</v>
      </c>
      <c r="G51" s="28">
        <f>-SUMIF('1.2 FY2017'!$B$5:$B$86,'2.1 Database'!$B51,'1.2 FY2017'!$F$5:$F$86)</f>
        <v>0</v>
      </c>
      <c r="H51" s="28">
        <f>-SUMIF('1.3 FY2018'!$B$5:$B$78,'2.1 Database'!$B51,'1.3 FY2018'!$F$5:$F$78)</f>
        <v>0</v>
      </c>
      <c r="J51" s="2" t="s">
        <v>232</v>
      </c>
    </row>
    <row r="52" spans="2:10" x14ac:dyDescent="0.25">
      <c r="B52" s="24" t="s">
        <v>164</v>
      </c>
      <c r="C52" s="6" t="str">
        <f>_xlfn.IFNA(INDEX('1.1 FY2016'!$B$5:$G$61,MATCH('2.1 Database'!$B52,'1.1 FY2016'!$B$5:$B$61,0),MATCH('2.1 Database'!C$3,'1.1 FY2016'!$B$4:$G$4,0)),_xlfn.IFNA(INDEX('1.2 FY2017'!$B$5:$G$86,MATCH('2.1 Database'!$B52,'1.2 FY2017'!$B$5:$B$86,0),MATCH('2.1 Database'!C$3,'1.2 FY2017'!$B$4:$G$4,0)),INDEX('1.3 FY2018'!$B$5:$G$78,MATCH('2.1 Database'!$B52,'1.3 FY2018'!$B$5:$B$78,0),MATCH('2.1 Database'!C$3,'1.3 FY2018'!$B$4:$G$4,0))))</f>
        <v>Interest income</v>
      </c>
      <c r="D52" s="6">
        <f>_xlfn.IFNA(INDEX('1.1 FY2016'!$B$5:$G$61,MATCH('2.1 Database'!$B52,'1.1 FY2016'!$B$5:$B$61,0),MATCH('2.1 Database'!D$3,'1.1 FY2016'!$B$4:$G$4,0)),_xlfn.IFNA(INDEX('1.2 FY2017'!$B$5:$G$86,MATCH('2.1 Database'!$B52,'1.2 FY2017'!$B$5:$B$86,0),MATCH('2.1 Database'!D$3,'1.2 FY2017'!$B$4:$G$4,0)),INDEX('1.3 FY2018'!$B$5:$G$78,MATCH('2.1 Database'!$B52,'1.3 FY2018'!$B$5:$B$78,0),MATCH('2.1 Database'!D$3,'1.3 FY2018'!$B$4:$G$4,0))))</f>
        <v>1240</v>
      </c>
      <c r="E52" s="6" t="str">
        <f>_xlfn.IFNA(INDEX('1.1 FY2016'!$B$5:$G$61,MATCH('2.1 Database'!$B52,'1.1 FY2016'!$B$5:$B$61,0),MATCH('2.1 Database'!E$3,'1.1 FY2016'!$B$4:$G$4,0)),_xlfn.IFNA(INDEX('1.2 FY2017'!$B$5:$G$86,MATCH('2.1 Database'!$B52,'1.2 FY2017'!$B$5:$B$86,0),MATCH('2.1 Database'!E$3,'1.2 FY2017'!$B$4:$G$4,0)),INDEX('1.3 FY2018'!$B$5:$G$78,MATCH('2.1 Database'!$B52,'1.3 FY2018'!$B$5:$B$78,0),MATCH('2.1 Database'!E$3,'1.3 FY2018'!$B$4:$G$4,0))))</f>
        <v xml:space="preserve">Generco UK </v>
      </c>
      <c r="F52" s="28">
        <f>-SUMIF('1.1 FY2016'!$B$5:$B$61,'2.1 Database'!$B52,'1.1 FY2016'!$F$5:$F$61)</f>
        <v>35810.228000000003</v>
      </c>
      <c r="G52" s="28">
        <f>-SUMIF('1.2 FY2017'!$B$5:$B$86,'2.1 Database'!$B52,'1.2 FY2017'!$F$5:$F$86)</f>
        <v>34224.959999999999</v>
      </c>
      <c r="H52" s="28">
        <f>-SUMIF('1.3 FY2018'!$B$5:$B$78,'2.1 Database'!$B52,'1.3 FY2018'!$F$5:$F$78)</f>
        <v>0</v>
      </c>
      <c r="J52" s="2" t="s">
        <v>232</v>
      </c>
    </row>
    <row r="53" spans="2:10" x14ac:dyDescent="0.25">
      <c r="B53" s="24" t="s">
        <v>165</v>
      </c>
      <c r="C53" s="6" t="str">
        <f>_xlfn.IFNA(INDEX('1.1 FY2016'!$B$5:$G$61,MATCH('2.1 Database'!$B53,'1.1 FY2016'!$B$5:$B$61,0),MATCH('2.1 Database'!C$3,'1.1 FY2016'!$B$4:$G$4,0)),_xlfn.IFNA(INDEX('1.2 FY2017'!$B$5:$G$86,MATCH('2.1 Database'!$B53,'1.2 FY2017'!$B$5:$B$86,0),MATCH('2.1 Database'!C$3,'1.2 FY2017'!$B$4:$G$4,0)),INDEX('1.3 FY2018'!$B$5:$G$78,MATCH('2.1 Database'!$B53,'1.3 FY2018'!$B$5:$B$78,0),MATCH('2.1 Database'!C$3,'1.3 FY2018'!$B$4:$G$4,0))))</f>
        <v>Interest income</v>
      </c>
      <c r="D53" s="6">
        <f>_xlfn.IFNA(INDEX('1.1 FY2016'!$B$5:$G$61,MATCH('2.1 Database'!$B53,'1.1 FY2016'!$B$5:$B$61,0),MATCH('2.1 Database'!D$3,'1.1 FY2016'!$B$4:$G$4,0)),_xlfn.IFNA(INDEX('1.2 FY2017'!$B$5:$G$86,MATCH('2.1 Database'!$B53,'1.2 FY2017'!$B$5:$B$86,0),MATCH('2.1 Database'!D$3,'1.2 FY2017'!$B$4:$G$4,0)),INDEX('1.3 FY2018'!$B$5:$G$78,MATCH('2.1 Database'!$B53,'1.3 FY2018'!$B$5:$B$78,0),MATCH('2.1 Database'!D$3,'1.3 FY2018'!$B$4:$G$4,0))))</f>
        <v>111111</v>
      </c>
      <c r="E53" s="6" t="str">
        <f>_xlfn.IFNA(INDEX('1.1 FY2016'!$B$5:$G$61,MATCH('2.1 Database'!$B53,'1.1 FY2016'!$B$5:$B$61,0),MATCH('2.1 Database'!E$3,'1.1 FY2016'!$B$4:$G$4,0)),_xlfn.IFNA(INDEX('1.2 FY2017'!$B$5:$G$86,MATCH('2.1 Database'!$B53,'1.2 FY2017'!$B$5:$B$86,0),MATCH('2.1 Database'!E$3,'1.2 FY2017'!$B$4:$G$4,0)),INDEX('1.3 FY2018'!$B$5:$G$78,MATCH('2.1 Database'!$B53,'1.3 FY2018'!$B$5:$B$78,0),MATCH('2.1 Database'!E$3,'1.3 FY2018'!$B$4:$G$4,0))))</f>
        <v>External</v>
      </c>
      <c r="F53" s="28">
        <f>-SUMIF('1.1 FY2016'!$B$5:$B$61,'2.1 Database'!$B53,'1.1 FY2016'!$F$5:$F$61)</f>
        <v>51927.417999999998</v>
      </c>
      <c r="G53" s="28">
        <f>-SUMIF('1.2 FY2017'!$B$5:$B$86,'2.1 Database'!$B53,'1.2 FY2017'!$F$5:$F$86)</f>
        <v>2204.7199999999998</v>
      </c>
      <c r="H53" s="28">
        <f>-SUMIF('1.3 FY2018'!$B$5:$B$78,'2.1 Database'!$B53,'1.3 FY2018'!$F$5:$F$78)</f>
        <v>73809.511999999988</v>
      </c>
      <c r="J53" s="2" t="s">
        <v>232</v>
      </c>
    </row>
    <row r="54" spans="2:10" x14ac:dyDescent="0.25">
      <c r="B54" s="24" t="s">
        <v>166</v>
      </c>
      <c r="C54" s="6" t="str">
        <f>_xlfn.IFNA(INDEX('1.1 FY2016'!$B$5:$G$61,MATCH('2.1 Database'!$B54,'1.1 FY2016'!$B$5:$B$61,0),MATCH('2.1 Database'!C$3,'1.1 FY2016'!$B$4:$G$4,0)),_xlfn.IFNA(INDEX('1.2 FY2017'!$B$5:$G$86,MATCH('2.1 Database'!$B54,'1.2 FY2017'!$B$5:$B$86,0),MATCH('2.1 Database'!C$3,'1.2 FY2017'!$B$4:$G$4,0)),INDEX('1.3 FY2018'!$B$5:$G$78,MATCH('2.1 Database'!$B54,'1.3 FY2018'!$B$5:$B$78,0),MATCH('2.1 Database'!C$3,'1.3 FY2018'!$B$4:$G$4,0))))</f>
        <v>Capitalized interest</v>
      </c>
      <c r="D54" s="6">
        <f>_xlfn.IFNA(INDEX('1.1 FY2016'!$B$5:$G$61,MATCH('2.1 Database'!$B54,'1.1 FY2016'!$B$5:$B$61,0),MATCH('2.1 Database'!D$3,'1.1 FY2016'!$B$4:$G$4,0)),_xlfn.IFNA(INDEX('1.2 FY2017'!$B$5:$G$86,MATCH('2.1 Database'!$B54,'1.2 FY2017'!$B$5:$B$86,0),MATCH('2.1 Database'!D$3,'1.2 FY2017'!$B$4:$G$4,0)),INDEX('1.3 FY2018'!$B$5:$G$78,MATCH('2.1 Database'!$B54,'1.3 FY2018'!$B$5:$B$78,0),MATCH('2.1 Database'!D$3,'1.3 FY2018'!$B$4:$G$4,0))))</f>
        <v>111101</v>
      </c>
      <c r="E54" s="6" t="str">
        <f>_xlfn.IFNA(INDEX('1.1 FY2016'!$B$5:$G$61,MATCH('2.1 Database'!$B54,'1.1 FY2016'!$B$5:$B$61,0),MATCH('2.1 Database'!E$3,'1.1 FY2016'!$B$4:$G$4,0)),_xlfn.IFNA(INDEX('1.2 FY2017'!$B$5:$G$86,MATCH('2.1 Database'!$B54,'1.2 FY2017'!$B$5:$B$86,0),MATCH('2.1 Database'!E$3,'1.2 FY2017'!$B$4:$G$4,0)),INDEX('1.3 FY2018'!$B$5:$G$78,MATCH('2.1 Database'!$B54,'1.3 FY2018'!$B$5:$B$78,0),MATCH('2.1 Database'!E$3,'1.3 FY2018'!$B$4:$G$4,0))))</f>
        <v>Not assigned</v>
      </c>
      <c r="F54" s="28">
        <f>-SUMIF('1.1 FY2016'!$B$5:$B$61,'2.1 Database'!$B54,'1.1 FY2016'!$F$5:$F$61)</f>
        <v>862270.63399999996</v>
      </c>
      <c r="G54" s="28">
        <f>-SUMIF('1.2 FY2017'!$B$5:$B$86,'2.1 Database'!$B54,'1.2 FY2017'!$F$5:$F$86)</f>
        <v>0</v>
      </c>
      <c r="H54" s="28">
        <f>-SUMIF('1.3 FY2018'!$B$5:$B$78,'2.1 Database'!$B54,'1.3 FY2018'!$F$5:$F$78)</f>
        <v>0</v>
      </c>
      <c r="J54" s="2" t="s">
        <v>67</v>
      </c>
    </row>
    <row r="55" spans="2:10" x14ac:dyDescent="0.25">
      <c r="B55" s="24" t="s">
        <v>167</v>
      </c>
      <c r="C55" s="6" t="str">
        <f>_xlfn.IFNA(INDEX('1.1 FY2016'!$B$5:$G$61,MATCH('2.1 Database'!$B55,'1.1 FY2016'!$B$5:$B$61,0),MATCH('2.1 Database'!C$3,'1.1 FY2016'!$B$4:$G$4,0)),_xlfn.IFNA(INDEX('1.2 FY2017'!$B$5:$G$86,MATCH('2.1 Database'!$B55,'1.2 FY2017'!$B$5:$B$86,0),MATCH('2.1 Database'!C$3,'1.2 FY2017'!$B$4:$G$4,0)),INDEX('1.3 FY2018'!$B$5:$G$78,MATCH('2.1 Database'!$B55,'1.3 FY2018'!$B$5:$B$78,0),MATCH('2.1 Database'!C$3,'1.3 FY2018'!$B$4:$G$4,0))))</f>
        <v>Non-recurring costs</v>
      </c>
      <c r="D55" s="6">
        <f>_xlfn.IFNA(INDEX('1.1 FY2016'!$B$5:$G$61,MATCH('2.1 Database'!$B55,'1.1 FY2016'!$B$5:$B$61,0),MATCH('2.1 Database'!D$3,'1.1 FY2016'!$B$4:$G$4,0)),_xlfn.IFNA(INDEX('1.2 FY2017'!$B$5:$G$86,MATCH('2.1 Database'!$B55,'1.2 FY2017'!$B$5:$B$86,0),MATCH('2.1 Database'!D$3,'1.2 FY2017'!$B$4:$G$4,0)),INDEX('1.3 FY2018'!$B$5:$G$78,MATCH('2.1 Database'!$B55,'1.3 FY2018'!$B$5:$B$78,0),MATCH('2.1 Database'!D$3,'1.3 FY2018'!$B$4:$G$4,0))))</f>
        <v>111101</v>
      </c>
      <c r="E55" s="6" t="str">
        <f>_xlfn.IFNA(INDEX('1.1 FY2016'!$B$5:$G$61,MATCH('2.1 Database'!$B55,'1.1 FY2016'!$B$5:$B$61,0),MATCH('2.1 Database'!E$3,'1.1 FY2016'!$B$4:$G$4,0)),_xlfn.IFNA(INDEX('1.2 FY2017'!$B$5:$G$86,MATCH('2.1 Database'!$B55,'1.2 FY2017'!$B$5:$B$86,0),MATCH('2.1 Database'!E$3,'1.2 FY2017'!$B$4:$G$4,0)),INDEX('1.3 FY2018'!$B$5:$G$78,MATCH('2.1 Database'!$B55,'1.3 FY2018'!$B$5:$B$78,0),MATCH('2.1 Database'!E$3,'1.3 FY2018'!$B$4:$G$4,0))))</f>
        <v>Not assigned</v>
      </c>
      <c r="F55" s="28">
        <f>-SUMIF('1.1 FY2016'!$B$5:$B$61,'2.1 Database'!$B55,'1.1 FY2016'!$F$5:$F$61)</f>
        <v>-22763</v>
      </c>
      <c r="G55" s="28">
        <f>-SUMIF('1.2 FY2017'!$B$5:$B$86,'2.1 Database'!$B55,'1.2 FY2017'!$F$5:$F$86)</f>
        <v>-80617.179999999993</v>
      </c>
      <c r="H55" s="28">
        <f>-SUMIF('1.3 FY2018'!$B$5:$B$78,'2.1 Database'!$B55,'1.3 FY2018'!$F$5:$F$78)</f>
        <v>-7173.195999999999</v>
      </c>
      <c r="J55" s="2" t="s">
        <v>233</v>
      </c>
    </row>
    <row r="56" spans="2:10" x14ac:dyDescent="0.25">
      <c r="B56" s="24" t="s">
        <v>168</v>
      </c>
      <c r="C56" s="6" t="str">
        <f>_xlfn.IFNA(INDEX('1.1 FY2016'!$B$5:$G$61,MATCH('2.1 Database'!$B56,'1.1 FY2016'!$B$5:$B$61,0),MATCH('2.1 Database'!C$3,'1.1 FY2016'!$B$4:$G$4,0)),_xlfn.IFNA(INDEX('1.2 FY2017'!$B$5:$G$86,MATCH('2.1 Database'!$B56,'1.2 FY2017'!$B$5:$B$86,0),MATCH('2.1 Database'!C$3,'1.2 FY2017'!$B$4:$G$4,0)),INDEX('1.3 FY2018'!$B$5:$G$78,MATCH('2.1 Database'!$B56,'1.3 FY2018'!$B$5:$B$78,0),MATCH('2.1 Database'!C$3,'1.3 FY2018'!$B$4:$G$4,0))))</f>
        <v>Interest expenses</v>
      </c>
      <c r="D56" s="6">
        <f>_xlfn.IFNA(INDEX('1.1 FY2016'!$B$5:$G$61,MATCH('2.1 Database'!$B56,'1.1 FY2016'!$B$5:$B$61,0),MATCH('2.1 Database'!D$3,'1.1 FY2016'!$B$4:$G$4,0)),_xlfn.IFNA(INDEX('1.2 FY2017'!$B$5:$G$86,MATCH('2.1 Database'!$B56,'1.2 FY2017'!$B$5:$B$86,0),MATCH('2.1 Database'!D$3,'1.2 FY2017'!$B$4:$G$4,0)),INDEX('1.3 FY2018'!$B$5:$G$78,MATCH('2.1 Database'!$B56,'1.3 FY2018'!$B$5:$B$78,0),MATCH('2.1 Database'!D$3,'1.3 FY2018'!$B$4:$G$4,0))))</f>
        <v>88</v>
      </c>
      <c r="E56" s="6" t="str">
        <f>_xlfn.IFNA(INDEX('1.1 FY2016'!$B$5:$G$61,MATCH('2.1 Database'!$B56,'1.1 FY2016'!$B$5:$B$61,0),MATCH('2.1 Database'!E$3,'1.1 FY2016'!$B$4:$G$4,0)),_xlfn.IFNA(INDEX('1.2 FY2017'!$B$5:$G$86,MATCH('2.1 Database'!$B56,'1.2 FY2017'!$B$5:$B$86,0),MATCH('2.1 Database'!E$3,'1.2 FY2017'!$B$4:$G$4,0)),INDEX('1.3 FY2018'!$B$5:$G$78,MATCH('2.1 Database'!$B56,'1.3 FY2018'!$B$5:$B$78,0),MATCH('2.1 Database'!E$3,'1.3 FY2018'!$B$4:$G$4,0))))</f>
        <v>Generco Ltd</v>
      </c>
      <c r="F56" s="28">
        <f>-SUMIF('1.1 FY2016'!$B$5:$B$61,'2.1 Database'!$B56,'1.1 FY2016'!$F$5:$F$61)</f>
        <v>-2930430.0120000001</v>
      </c>
      <c r="G56" s="28">
        <f>-SUMIF('1.2 FY2017'!$B$5:$B$86,'2.1 Database'!$B56,'1.2 FY2017'!$F$5:$F$86)</f>
        <v>-2752704.22</v>
      </c>
      <c r="H56" s="28">
        <f>-SUMIF('1.3 FY2018'!$B$5:$B$78,'2.1 Database'!$B56,'1.3 FY2018'!$F$5:$F$78)</f>
        <v>-2324465.8859999999</v>
      </c>
      <c r="J56" s="2" t="s">
        <v>232</v>
      </c>
    </row>
    <row r="57" spans="2:10" x14ac:dyDescent="0.25">
      <c r="B57" s="24" t="s">
        <v>169</v>
      </c>
      <c r="C57" s="6" t="str">
        <f>_xlfn.IFNA(INDEX('1.1 FY2016'!$B$5:$G$61,MATCH('2.1 Database'!$B57,'1.1 FY2016'!$B$5:$B$61,0),MATCH('2.1 Database'!C$3,'1.1 FY2016'!$B$4:$G$4,0)),_xlfn.IFNA(INDEX('1.2 FY2017'!$B$5:$G$86,MATCH('2.1 Database'!$B57,'1.2 FY2017'!$B$5:$B$86,0),MATCH('2.1 Database'!C$3,'1.2 FY2017'!$B$4:$G$4,0)),INDEX('1.3 FY2018'!$B$5:$G$78,MATCH('2.1 Database'!$B57,'1.3 FY2018'!$B$5:$B$78,0),MATCH('2.1 Database'!C$3,'1.3 FY2018'!$B$4:$G$4,0))))</f>
        <v>Current taxes</v>
      </c>
      <c r="D57" s="6">
        <f>_xlfn.IFNA(INDEX('1.1 FY2016'!$B$5:$G$61,MATCH('2.1 Database'!$B57,'1.1 FY2016'!$B$5:$B$61,0),MATCH('2.1 Database'!D$3,'1.1 FY2016'!$B$4:$G$4,0)),_xlfn.IFNA(INDEX('1.2 FY2017'!$B$5:$G$86,MATCH('2.1 Database'!$B57,'1.2 FY2017'!$B$5:$B$86,0),MATCH('2.1 Database'!D$3,'1.2 FY2017'!$B$4:$G$4,0)),INDEX('1.3 FY2018'!$B$5:$G$78,MATCH('2.1 Database'!$B57,'1.3 FY2018'!$B$5:$B$78,0),MATCH('2.1 Database'!D$3,'1.3 FY2018'!$B$4:$G$4,0))))</f>
        <v>111101</v>
      </c>
      <c r="E57" s="6" t="str">
        <f>_xlfn.IFNA(INDEX('1.1 FY2016'!$B$5:$G$61,MATCH('2.1 Database'!$B57,'1.1 FY2016'!$B$5:$B$61,0),MATCH('2.1 Database'!E$3,'1.1 FY2016'!$B$4:$G$4,0)),_xlfn.IFNA(INDEX('1.2 FY2017'!$B$5:$G$86,MATCH('2.1 Database'!$B57,'1.2 FY2017'!$B$5:$B$86,0),MATCH('2.1 Database'!E$3,'1.2 FY2017'!$B$4:$G$4,0)),INDEX('1.3 FY2018'!$B$5:$G$78,MATCH('2.1 Database'!$B57,'1.3 FY2018'!$B$5:$B$78,0),MATCH('2.1 Database'!E$3,'1.3 FY2018'!$B$4:$G$4,0))))</f>
        <v>Not assigned</v>
      </c>
      <c r="F57" s="28">
        <f>-SUMIF('1.1 FY2016'!$B$5:$B$61,'2.1 Database'!$B57,'1.1 FY2016'!$F$5:$F$61)</f>
        <v>49378.641999999993</v>
      </c>
      <c r="G57" s="28">
        <f>-SUMIF('1.2 FY2017'!$B$5:$B$86,'2.1 Database'!$B57,'1.2 FY2017'!$F$5:$F$86)</f>
        <v>-496748.70000000007</v>
      </c>
      <c r="H57" s="28">
        <f>-SUMIF('1.3 FY2018'!$B$5:$B$78,'2.1 Database'!$B57,'1.3 FY2018'!$F$5:$F$78)</f>
        <v>-2558.1950000000002</v>
      </c>
      <c r="J57" s="2" t="s">
        <v>234</v>
      </c>
    </row>
    <row r="58" spans="2:10" x14ac:dyDescent="0.25">
      <c r="B58" s="24" t="s">
        <v>170</v>
      </c>
      <c r="C58" s="6" t="str">
        <f>_xlfn.IFNA(INDEX('1.1 FY2016'!$B$5:$G$61,MATCH('2.1 Database'!$B58,'1.1 FY2016'!$B$5:$B$61,0),MATCH('2.1 Database'!C$3,'1.1 FY2016'!$B$4:$G$4,0)),_xlfn.IFNA(INDEX('1.2 FY2017'!$B$5:$G$86,MATCH('2.1 Database'!$B58,'1.2 FY2017'!$B$5:$B$86,0),MATCH('2.1 Database'!C$3,'1.2 FY2017'!$B$4:$G$4,0)),INDEX('1.3 FY2018'!$B$5:$G$78,MATCH('2.1 Database'!$B58,'1.3 FY2018'!$B$5:$B$78,0),MATCH('2.1 Database'!C$3,'1.3 FY2018'!$B$4:$G$4,0))))</f>
        <v>Regional taxes</v>
      </c>
      <c r="D58" s="6">
        <f>_xlfn.IFNA(INDEX('1.1 FY2016'!$B$5:$G$61,MATCH('2.1 Database'!$B58,'1.1 FY2016'!$B$5:$B$61,0),MATCH('2.1 Database'!D$3,'1.1 FY2016'!$B$4:$G$4,0)),_xlfn.IFNA(INDEX('1.2 FY2017'!$B$5:$G$86,MATCH('2.1 Database'!$B58,'1.2 FY2017'!$B$5:$B$86,0),MATCH('2.1 Database'!D$3,'1.2 FY2017'!$B$4:$G$4,0)),INDEX('1.3 FY2018'!$B$5:$G$78,MATCH('2.1 Database'!$B58,'1.3 FY2018'!$B$5:$B$78,0),MATCH('2.1 Database'!D$3,'1.3 FY2018'!$B$4:$G$4,0))))</f>
        <v>111101</v>
      </c>
      <c r="E58" s="6" t="str">
        <f>_xlfn.IFNA(INDEX('1.1 FY2016'!$B$5:$G$61,MATCH('2.1 Database'!$B58,'1.1 FY2016'!$B$5:$B$61,0),MATCH('2.1 Database'!E$3,'1.1 FY2016'!$B$4:$G$4,0)),_xlfn.IFNA(INDEX('1.2 FY2017'!$B$5:$G$86,MATCH('2.1 Database'!$B58,'1.2 FY2017'!$B$5:$B$86,0),MATCH('2.1 Database'!E$3,'1.2 FY2017'!$B$4:$G$4,0)),INDEX('1.3 FY2018'!$B$5:$G$78,MATCH('2.1 Database'!$B58,'1.3 FY2018'!$B$5:$B$78,0),MATCH('2.1 Database'!E$3,'1.3 FY2018'!$B$4:$G$4,0))))</f>
        <v>Not assigned</v>
      </c>
      <c r="F58" s="28">
        <f>-SUMIF('1.1 FY2016'!$B$5:$B$61,'2.1 Database'!$B58,'1.1 FY2016'!$F$5:$F$61)</f>
        <v>-516250.67</v>
      </c>
      <c r="G58" s="28">
        <f>-SUMIF('1.2 FY2017'!$B$5:$B$86,'2.1 Database'!$B58,'1.2 FY2017'!$F$5:$F$86)</f>
        <v>-480872.96000000002</v>
      </c>
      <c r="H58" s="28">
        <f>-SUMIF('1.3 FY2018'!$B$5:$B$78,'2.1 Database'!$B58,'1.3 FY2018'!$F$5:$F$78)</f>
        <v>-522710.353</v>
      </c>
      <c r="J58" s="2" t="s">
        <v>234</v>
      </c>
    </row>
    <row r="59" spans="2:10" x14ac:dyDescent="0.25">
      <c r="B59" s="24" t="s">
        <v>171</v>
      </c>
      <c r="C59" s="6" t="str">
        <f>_xlfn.IFNA(INDEX('1.1 FY2016'!$B$5:$G$61,MATCH('2.1 Database'!$B59,'1.1 FY2016'!$B$5:$B$61,0),MATCH('2.1 Database'!C$3,'1.1 FY2016'!$B$4:$G$4,0)),_xlfn.IFNA(INDEX('1.2 FY2017'!$B$5:$G$86,MATCH('2.1 Database'!$B59,'1.2 FY2017'!$B$5:$B$86,0),MATCH('2.1 Database'!C$3,'1.2 FY2017'!$B$4:$G$4,0)),INDEX('1.3 FY2018'!$B$5:$G$78,MATCH('2.1 Database'!$B59,'1.3 FY2018'!$B$5:$B$78,0),MATCH('2.1 Database'!C$3,'1.3 FY2018'!$B$4:$G$4,0))))</f>
        <v>Deferred taxes</v>
      </c>
      <c r="D59" s="6">
        <f>_xlfn.IFNA(INDEX('1.1 FY2016'!$B$5:$G$61,MATCH('2.1 Database'!$B59,'1.1 FY2016'!$B$5:$B$61,0),MATCH('2.1 Database'!D$3,'1.1 FY2016'!$B$4:$G$4,0)),_xlfn.IFNA(INDEX('1.2 FY2017'!$B$5:$G$86,MATCH('2.1 Database'!$B59,'1.2 FY2017'!$B$5:$B$86,0),MATCH('2.1 Database'!D$3,'1.2 FY2017'!$B$4:$G$4,0)),INDEX('1.3 FY2018'!$B$5:$G$78,MATCH('2.1 Database'!$B59,'1.3 FY2018'!$B$5:$B$78,0),MATCH('2.1 Database'!D$3,'1.3 FY2018'!$B$4:$G$4,0))))</f>
        <v>111101</v>
      </c>
      <c r="E59" s="6" t="str">
        <f>_xlfn.IFNA(INDEX('1.1 FY2016'!$B$5:$G$61,MATCH('2.1 Database'!$B59,'1.1 FY2016'!$B$5:$B$61,0),MATCH('2.1 Database'!E$3,'1.1 FY2016'!$B$4:$G$4,0)),_xlfn.IFNA(INDEX('1.2 FY2017'!$B$5:$G$86,MATCH('2.1 Database'!$B59,'1.2 FY2017'!$B$5:$B$86,0),MATCH('2.1 Database'!E$3,'1.2 FY2017'!$B$4:$G$4,0)),INDEX('1.3 FY2018'!$B$5:$G$78,MATCH('2.1 Database'!$B59,'1.3 FY2018'!$B$5:$B$78,0),MATCH('2.1 Database'!E$3,'1.3 FY2018'!$B$4:$G$4,0))))</f>
        <v>Not assigned</v>
      </c>
      <c r="F59" s="28">
        <f>-SUMIF('1.1 FY2016'!$B$5:$B$61,'2.1 Database'!$B59,'1.1 FY2016'!$F$5:$F$61)</f>
        <v>-21593.093999999997</v>
      </c>
      <c r="G59" s="28">
        <f>-SUMIF('1.2 FY2017'!$B$5:$B$86,'2.1 Database'!$B59,'1.2 FY2017'!$F$5:$F$86)</f>
        <v>-6570.3050000000003</v>
      </c>
      <c r="H59" s="28">
        <f>-SUMIF('1.3 FY2018'!$B$5:$B$78,'2.1 Database'!$B59,'1.3 FY2018'!$F$5:$F$78)</f>
        <v>160303.52199999997</v>
      </c>
      <c r="J59" s="2" t="s">
        <v>234</v>
      </c>
    </row>
    <row r="60" spans="2:10" x14ac:dyDescent="0.25">
      <c r="B60" s="24" t="s">
        <v>172</v>
      </c>
      <c r="C60" s="6" t="str">
        <f>_xlfn.IFNA(INDEX('1.1 FY2016'!$B$5:$G$61,MATCH('2.1 Database'!$B60,'1.1 FY2016'!$B$5:$B$61,0),MATCH('2.1 Database'!C$3,'1.1 FY2016'!$B$4:$G$4,0)),_xlfn.IFNA(INDEX('1.2 FY2017'!$B$5:$G$86,MATCH('2.1 Database'!$B60,'1.2 FY2017'!$B$5:$B$86,0),MATCH('2.1 Database'!C$3,'1.2 FY2017'!$B$4:$G$4,0)),INDEX('1.3 FY2018'!$B$5:$G$78,MATCH('2.1 Database'!$B60,'1.3 FY2018'!$B$5:$B$78,0),MATCH('2.1 Database'!C$3,'1.3 FY2018'!$B$4:$G$4,0))))</f>
        <v>Net income/(loss)</v>
      </c>
      <c r="D60" s="6">
        <f>_xlfn.IFNA(INDEX('1.1 FY2016'!$B$5:$G$61,MATCH('2.1 Database'!$B60,'1.1 FY2016'!$B$5:$B$61,0),MATCH('2.1 Database'!D$3,'1.1 FY2016'!$B$4:$G$4,0)),_xlfn.IFNA(INDEX('1.2 FY2017'!$B$5:$G$86,MATCH('2.1 Database'!$B60,'1.2 FY2017'!$B$5:$B$86,0),MATCH('2.1 Database'!D$3,'1.2 FY2017'!$B$4:$G$4,0)),INDEX('1.3 FY2018'!$B$5:$G$78,MATCH('2.1 Database'!$B60,'1.3 FY2018'!$B$5:$B$78,0),MATCH('2.1 Database'!D$3,'1.3 FY2018'!$B$4:$G$4,0))))</f>
        <v>111101</v>
      </c>
      <c r="E60" s="6" t="str">
        <f>_xlfn.IFNA(INDEX('1.1 FY2016'!$B$5:$G$61,MATCH('2.1 Database'!$B60,'1.1 FY2016'!$B$5:$B$61,0),MATCH('2.1 Database'!E$3,'1.1 FY2016'!$B$4:$G$4,0)),_xlfn.IFNA(INDEX('1.2 FY2017'!$B$5:$G$86,MATCH('2.1 Database'!$B60,'1.2 FY2017'!$B$5:$B$86,0),MATCH('2.1 Database'!E$3,'1.2 FY2017'!$B$4:$G$4,0)),INDEX('1.3 FY2018'!$B$5:$G$78,MATCH('2.1 Database'!$B60,'1.3 FY2018'!$B$5:$B$78,0),MATCH('2.1 Database'!E$3,'1.3 FY2018'!$B$4:$G$4,0))))</f>
        <v>Not assigned</v>
      </c>
      <c r="F60" s="28">
        <f>-SUMIF('1.1 FY2016'!$B$5:$B$61,'2.1 Database'!$B60,'1.1 FY2016'!$F$5:$F$61)</f>
        <v>2904117.9939999986</v>
      </c>
      <c r="G60" s="28">
        <f>-SUMIF('1.2 FY2017'!$B$5:$B$86,'2.1 Database'!$B60,'1.2 FY2017'!$F$5:$F$86)</f>
        <v>0</v>
      </c>
      <c r="H60" s="28">
        <f>-SUMIF('1.3 FY2018'!$B$5:$B$78,'2.1 Database'!$B60,'1.3 FY2018'!$F$5:$F$78)</f>
        <v>0</v>
      </c>
      <c r="J60" s="2" t="s">
        <v>235</v>
      </c>
    </row>
    <row r="61" spans="2:10" x14ac:dyDescent="0.25">
      <c r="B61" s="24" t="s">
        <v>173</v>
      </c>
      <c r="C61" s="6" t="str">
        <f>_xlfn.IFNA(INDEX('1.1 FY2016'!$B$5:$G$61,MATCH('2.1 Database'!$B61,'1.1 FY2016'!$B$5:$B$61,0),MATCH('2.1 Database'!C$3,'1.1 FY2016'!$B$4:$G$4,0)),_xlfn.IFNA(INDEX('1.2 FY2017'!$B$5:$G$86,MATCH('2.1 Database'!$B61,'1.2 FY2017'!$B$5:$B$86,0),MATCH('2.1 Database'!C$3,'1.2 FY2017'!$B$4:$G$4,0)),INDEX('1.3 FY2018'!$B$5:$G$78,MATCH('2.1 Database'!$B61,'1.3 FY2018'!$B$5:$B$78,0),MATCH('2.1 Database'!C$3,'1.3 FY2018'!$B$4:$G$4,0))))</f>
        <v>Core business revenues</v>
      </c>
      <c r="D61" s="6">
        <f>_xlfn.IFNA(INDEX('1.1 FY2016'!$B$5:$G$61,MATCH('2.1 Database'!$B61,'1.1 FY2016'!$B$5:$B$61,0),MATCH('2.1 Database'!D$3,'1.1 FY2016'!$B$4:$G$4,0)),_xlfn.IFNA(INDEX('1.2 FY2017'!$B$5:$G$86,MATCH('2.1 Database'!$B61,'1.2 FY2017'!$B$5:$B$86,0),MATCH('2.1 Database'!D$3,'1.2 FY2017'!$B$4:$G$4,0)),INDEX('1.3 FY2018'!$B$5:$G$78,MATCH('2.1 Database'!$B61,'1.3 FY2018'!$B$5:$B$78,0),MATCH('2.1 Database'!D$3,'1.3 FY2018'!$B$4:$G$4,0))))</f>
        <v>105</v>
      </c>
      <c r="E61" s="6" t="str">
        <f>_xlfn.IFNA(INDEX('1.1 FY2016'!$B$5:$G$61,MATCH('2.1 Database'!$B61,'1.1 FY2016'!$B$5:$B$61,0),MATCH('2.1 Database'!E$3,'1.1 FY2016'!$B$4:$G$4,0)),_xlfn.IFNA(INDEX('1.2 FY2017'!$B$5:$G$86,MATCH('2.1 Database'!$B61,'1.2 FY2017'!$B$5:$B$86,0),MATCH('2.1 Database'!E$3,'1.2 FY2017'!$B$4:$G$4,0)),INDEX('1.3 FY2018'!$B$5:$G$78,MATCH('2.1 Database'!$B61,'1.3 FY2018'!$B$5:$B$78,0),MATCH('2.1 Database'!E$3,'1.3 FY2018'!$B$4:$G$4,0))))</f>
        <v>Generco Healthcare Ltd</v>
      </c>
      <c r="F61" s="28">
        <f>-SUMIF('1.1 FY2016'!$B$5:$B$61,'2.1 Database'!$B61,'1.1 FY2016'!$F$5:$F$61)</f>
        <v>0</v>
      </c>
      <c r="G61" s="28">
        <f>-SUMIF('1.2 FY2017'!$B$5:$B$86,'2.1 Database'!$B61,'1.2 FY2017'!$F$5:$F$86)</f>
        <v>355396.61499999999</v>
      </c>
      <c r="H61" s="28">
        <f>-SUMIF('1.3 FY2018'!$B$5:$B$78,'2.1 Database'!$B61,'1.3 FY2018'!$F$5:$F$78)</f>
        <v>616462.01899999997</v>
      </c>
      <c r="J61" s="2" t="s">
        <v>236</v>
      </c>
    </row>
    <row r="62" spans="2:10" x14ac:dyDescent="0.25">
      <c r="B62" s="24" t="s">
        <v>174</v>
      </c>
      <c r="C62" s="6" t="str">
        <f>_xlfn.IFNA(INDEX('1.1 FY2016'!$B$5:$G$61,MATCH('2.1 Database'!$B62,'1.1 FY2016'!$B$5:$B$61,0),MATCH('2.1 Database'!C$3,'1.1 FY2016'!$B$4:$G$4,0)),_xlfn.IFNA(INDEX('1.2 FY2017'!$B$5:$G$86,MATCH('2.1 Database'!$B62,'1.2 FY2017'!$B$5:$B$86,0),MATCH('2.1 Database'!C$3,'1.2 FY2017'!$B$4:$G$4,0)),INDEX('1.3 FY2018'!$B$5:$G$78,MATCH('2.1 Database'!$B62,'1.3 FY2018'!$B$5:$B$78,0),MATCH('2.1 Database'!C$3,'1.3 FY2018'!$B$4:$G$4,0))))</f>
        <v>Capitalized costs</v>
      </c>
      <c r="D62" s="6" t="str">
        <f>_xlfn.IFNA(INDEX('1.1 FY2016'!$B$5:$G$61,MATCH('2.1 Database'!$B62,'1.1 FY2016'!$B$5:$B$61,0),MATCH('2.1 Database'!D$3,'1.1 FY2016'!$B$4:$G$4,0)),_xlfn.IFNA(INDEX('1.2 FY2017'!$B$5:$G$86,MATCH('2.1 Database'!$B62,'1.2 FY2017'!$B$5:$B$86,0),MATCH('2.1 Database'!D$3,'1.2 FY2017'!$B$4:$G$4,0)),INDEX('1.3 FY2018'!$B$5:$G$78,MATCH('2.1 Database'!$B62,'1.3 FY2018'!$B$5:$B$78,0),MATCH('2.1 Database'!D$3,'1.3 FY2018'!$B$4:$G$4,0))))</f>
        <v>1086</v>
      </c>
      <c r="E62" s="6" t="str">
        <f>_xlfn.IFNA(INDEX('1.1 FY2016'!$B$5:$G$61,MATCH('2.1 Database'!$B62,'1.1 FY2016'!$B$5:$B$61,0),MATCH('2.1 Database'!E$3,'1.1 FY2016'!$B$4:$G$4,0)),_xlfn.IFNA(INDEX('1.2 FY2017'!$B$5:$G$86,MATCH('2.1 Database'!$B62,'1.2 FY2017'!$B$5:$B$86,0),MATCH('2.1 Database'!E$3,'1.2 FY2017'!$B$4:$G$4,0)),INDEX('1.3 FY2018'!$B$5:$G$78,MATCH('2.1 Database'!$B62,'1.3 FY2018'!$B$5:$B$78,0),MATCH('2.1 Database'!E$3,'1.3 FY2018'!$B$4:$G$4,0))))</f>
        <v>G&amp;Resources Ltd</v>
      </c>
      <c r="F62" s="28">
        <f>-SUMIF('1.1 FY2016'!$B$5:$B$61,'2.1 Database'!$B62,'1.1 FY2016'!$F$5:$F$61)</f>
        <v>0</v>
      </c>
      <c r="G62" s="28">
        <f>-SUMIF('1.2 FY2017'!$B$5:$B$86,'2.1 Database'!$B62,'1.2 FY2017'!$F$5:$F$86)</f>
        <v>420017.14999999997</v>
      </c>
      <c r="H62" s="28">
        <f>-SUMIF('1.3 FY2018'!$B$5:$B$78,'2.1 Database'!$B62,'1.3 FY2018'!$F$5:$F$78)</f>
        <v>0</v>
      </c>
      <c r="J62" s="2" t="s">
        <v>67</v>
      </c>
    </row>
    <row r="63" spans="2:10" x14ac:dyDescent="0.25">
      <c r="B63" s="24" t="s">
        <v>175</v>
      </c>
      <c r="C63" s="6" t="str">
        <f>_xlfn.IFNA(INDEX('1.1 FY2016'!$B$5:$G$61,MATCH('2.1 Database'!$B63,'1.1 FY2016'!$B$5:$B$61,0),MATCH('2.1 Database'!C$3,'1.1 FY2016'!$B$4:$G$4,0)),_xlfn.IFNA(INDEX('1.2 FY2017'!$B$5:$G$86,MATCH('2.1 Database'!$B63,'1.2 FY2017'!$B$5:$B$86,0),MATCH('2.1 Database'!C$3,'1.2 FY2017'!$B$4:$G$4,0)),INDEX('1.3 FY2018'!$B$5:$G$78,MATCH('2.1 Database'!$B63,'1.3 FY2018'!$B$5:$B$78,0),MATCH('2.1 Database'!C$3,'1.3 FY2018'!$B$4:$G$4,0))))</f>
        <v>Utility charges</v>
      </c>
      <c r="D63" s="6">
        <f>_xlfn.IFNA(INDEX('1.1 FY2016'!$B$5:$G$61,MATCH('2.1 Database'!$B63,'1.1 FY2016'!$B$5:$B$61,0),MATCH('2.1 Database'!D$3,'1.1 FY2016'!$B$4:$G$4,0)),_xlfn.IFNA(INDEX('1.2 FY2017'!$B$5:$G$86,MATCH('2.1 Database'!$B63,'1.2 FY2017'!$B$5:$B$86,0),MATCH('2.1 Database'!D$3,'1.2 FY2017'!$B$4:$G$4,0)),INDEX('1.3 FY2018'!$B$5:$G$78,MATCH('2.1 Database'!$B63,'1.3 FY2018'!$B$5:$B$78,0),MATCH('2.1 Database'!D$3,'1.3 FY2018'!$B$4:$G$4,0))))</f>
        <v>111111</v>
      </c>
      <c r="E63" s="6" t="str">
        <f>_xlfn.IFNA(INDEX('1.1 FY2016'!$B$5:$G$61,MATCH('2.1 Database'!$B63,'1.1 FY2016'!$B$5:$B$61,0),MATCH('2.1 Database'!E$3,'1.1 FY2016'!$B$4:$G$4,0)),_xlfn.IFNA(INDEX('1.2 FY2017'!$B$5:$G$86,MATCH('2.1 Database'!$B63,'1.2 FY2017'!$B$5:$B$86,0),MATCH('2.1 Database'!E$3,'1.2 FY2017'!$B$4:$G$4,0)),INDEX('1.3 FY2018'!$B$5:$G$78,MATCH('2.1 Database'!$B63,'1.3 FY2018'!$B$5:$B$78,0),MATCH('2.1 Database'!E$3,'1.3 FY2018'!$B$4:$G$4,0))))</f>
        <v>External</v>
      </c>
      <c r="F63" s="28">
        <f>-SUMIF('1.1 FY2016'!$B$5:$B$61,'2.1 Database'!$B63,'1.1 FY2016'!$F$5:$F$61)</f>
        <v>0</v>
      </c>
      <c r="G63" s="28">
        <f>-SUMIF('1.2 FY2017'!$B$5:$B$86,'2.1 Database'!$B63,'1.2 FY2017'!$F$5:$F$86)</f>
        <v>-14589.33</v>
      </c>
      <c r="H63" s="28">
        <f>-SUMIF('1.3 FY2018'!$B$5:$B$78,'2.1 Database'!$B63,'1.3 FY2018'!$F$5:$F$78)</f>
        <v>-20504.509999999998</v>
      </c>
      <c r="J63" s="2" t="s">
        <v>226</v>
      </c>
    </row>
    <row r="64" spans="2:10" x14ac:dyDescent="0.25">
      <c r="B64" s="24" t="s">
        <v>176</v>
      </c>
      <c r="C64" s="6" t="str">
        <f>_xlfn.IFNA(INDEX('1.1 FY2016'!$B$5:$G$61,MATCH('2.1 Database'!$B64,'1.1 FY2016'!$B$5:$B$61,0),MATCH('2.1 Database'!C$3,'1.1 FY2016'!$B$4:$G$4,0)),_xlfn.IFNA(INDEX('1.2 FY2017'!$B$5:$G$86,MATCH('2.1 Database'!$B64,'1.2 FY2017'!$B$5:$B$86,0),MATCH('2.1 Database'!C$3,'1.2 FY2017'!$B$4:$G$4,0)),INDEX('1.3 FY2018'!$B$5:$G$78,MATCH('2.1 Database'!$B64,'1.3 FY2018'!$B$5:$B$78,0),MATCH('2.1 Database'!C$3,'1.3 FY2018'!$B$4:$G$4,0))))</f>
        <v>R&amp;D expenses</v>
      </c>
      <c r="D64" s="6">
        <f>_xlfn.IFNA(INDEX('1.1 FY2016'!$B$5:$G$61,MATCH('2.1 Database'!$B64,'1.1 FY2016'!$B$5:$B$61,0),MATCH('2.1 Database'!D$3,'1.1 FY2016'!$B$4:$G$4,0)),_xlfn.IFNA(INDEX('1.2 FY2017'!$B$5:$G$86,MATCH('2.1 Database'!$B64,'1.2 FY2017'!$B$5:$B$86,0),MATCH('2.1 Database'!D$3,'1.2 FY2017'!$B$4:$G$4,0)),INDEX('1.3 FY2018'!$B$5:$G$78,MATCH('2.1 Database'!$B64,'1.3 FY2018'!$B$5:$B$78,0),MATCH('2.1 Database'!D$3,'1.3 FY2018'!$B$4:$G$4,0))))</f>
        <v>19</v>
      </c>
      <c r="E64" s="6" t="str">
        <f>_xlfn.IFNA(INDEX('1.1 FY2016'!$B$5:$G$61,MATCH('2.1 Database'!$B64,'1.1 FY2016'!$B$5:$B$61,0),MATCH('2.1 Database'!E$3,'1.1 FY2016'!$B$4:$G$4,0)),_xlfn.IFNA(INDEX('1.2 FY2017'!$B$5:$G$86,MATCH('2.1 Database'!$B64,'1.2 FY2017'!$B$5:$B$86,0),MATCH('2.1 Database'!E$3,'1.2 FY2017'!$B$4:$G$4,0)),INDEX('1.3 FY2018'!$B$5:$G$78,MATCH('2.1 Database'!$B64,'1.3 FY2018'!$B$5:$B$78,0),MATCH('2.1 Database'!E$3,'1.3 FY2018'!$B$4:$G$4,0))))</f>
        <v>Generco Cosmetics Ltd</v>
      </c>
      <c r="F64" s="28">
        <f>-SUMIF('1.1 FY2016'!$B$5:$B$61,'2.1 Database'!$B64,'1.1 FY2016'!$F$5:$F$61)</f>
        <v>0</v>
      </c>
      <c r="G64" s="28">
        <f>-SUMIF('1.2 FY2017'!$B$5:$B$86,'2.1 Database'!$B64,'1.2 FY2017'!$F$5:$F$86)</f>
        <v>-38521</v>
      </c>
      <c r="H64" s="28">
        <f>-SUMIF('1.3 FY2018'!$B$5:$B$78,'2.1 Database'!$B64,'1.3 FY2018'!$F$5:$F$78)</f>
        <v>0</v>
      </c>
      <c r="J64" s="2" t="s">
        <v>226</v>
      </c>
    </row>
    <row r="65" spans="2:10" x14ac:dyDescent="0.25">
      <c r="B65" s="24" t="s">
        <v>177</v>
      </c>
      <c r="C65" s="6" t="str">
        <f>_xlfn.IFNA(INDEX('1.1 FY2016'!$B$5:$G$61,MATCH('2.1 Database'!$B65,'1.1 FY2016'!$B$5:$B$61,0),MATCH('2.1 Database'!C$3,'1.1 FY2016'!$B$4:$G$4,0)),_xlfn.IFNA(INDEX('1.2 FY2017'!$B$5:$G$86,MATCH('2.1 Database'!$B65,'1.2 FY2017'!$B$5:$B$86,0),MATCH('2.1 Database'!C$3,'1.2 FY2017'!$B$4:$G$4,0)),INDEX('1.3 FY2018'!$B$5:$G$78,MATCH('2.1 Database'!$B65,'1.3 FY2018'!$B$5:$B$78,0),MATCH('2.1 Database'!C$3,'1.3 FY2018'!$B$4:$G$4,0))))</f>
        <v>R&amp;D expenses</v>
      </c>
      <c r="D65" s="6" t="str">
        <f>_xlfn.IFNA(INDEX('1.1 FY2016'!$B$5:$G$61,MATCH('2.1 Database'!$B65,'1.1 FY2016'!$B$5:$B$61,0),MATCH('2.1 Database'!D$3,'1.1 FY2016'!$B$4:$G$4,0)),_xlfn.IFNA(INDEX('1.2 FY2017'!$B$5:$G$86,MATCH('2.1 Database'!$B65,'1.2 FY2017'!$B$5:$B$86,0),MATCH('2.1 Database'!D$3,'1.2 FY2017'!$B$4:$G$4,0)),INDEX('1.3 FY2018'!$B$5:$G$78,MATCH('2.1 Database'!$B65,'1.3 FY2018'!$B$5:$B$78,0),MATCH('2.1 Database'!D$3,'1.3 FY2018'!$B$4:$G$4,0))))</f>
        <v>1283</v>
      </c>
      <c r="E65" s="6" t="str">
        <f>_xlfn.IFNA(INDEX('1.1 FY2016'!$B$5:$G$61,MATCH('2.1 Database'!$B65,'1.1 FY2016'!$B$5:$B$61,0),MATCH('2.1 Database'!E$3,'1.1 FY2016'!$B$4:$G$4,0)),_xlfn.IFNA(INDEX('1.2 FY2017'!$B$5:$G$86,MATCH('2.1 Database'!$B65,'1.2 FY2017'!$B$5:$B$86,0),MATCH('2.1 Database'!E$3,'1.2 FY2017'!$B$4:$G$4,0)),INDEX('1.3 FY2018'!$B$5:$G$78,MATCH('2.1 Database'!$B65,'1.3 FY2018'!$B$5:$B$78,0),MATCH('2.1 Database'!E$3,'1.3 FY2018'!$B$4:$G$4,0))))</f>
        <v>Generco Ventures Ltd</v>
      </c>
      <c r="F65" s="28">
        <f>-SUMIF('1.1 FY2016'!$B$5:$B$61,'2.1 Database'!$B65,'1.1 FY2016'!$F$5:$F$61)</f>
        <v>0</v>
      </c>
      <c r="G65" s="28">
        <f>-SUMIF('1.2 FY2017'!$B$5:$B$86,'2.1 Database'!$B65,'1.2 FY2017'!$F$5:$F$86)</f>
        <v>-1820</v>
      </c>
      <c r="H65" s="28">
        <f>-SUMIF('1.3 FY2018'!$B$5:$B$78,'2.1 Database'!$B65,'1.3 FY2018'!$F$5:$F$78)</f>
        <v>0</v>
      </c>
      <c r="J65" s="2" t="s">
        <v>226</v>
      </c>
    </row>
    <row r="66" spans="2:10" x14ac:dyDescent="0.25">
      <c r="B66" s="24" t="s">
        <v>178</v>
      </c>
      <c r="C66" s="6" t="str">
        <f>_xlfn.IFNA(INDEX('1.1 FY2016'!$B$5:$G$61,MATCH('2.1 Database'!$B66,'1.1 FY2016'!$B$5:$B$61,0),MATCH('2.1 Database'!C$3,'1.1 FY2016'!$B$4:$G$4,0)),_xlfn.IFNA(INDEX('1.2 FY2017'!$B$5:$G$86,MATCH('2.1 Database'!$B66,'1.2 FY2017'!$B$5:$B$86,0),MATCH('2.1 Database'!C$3,'1.2 FY2017'!$B$4:$G$4,0)),INDEX('1.3 FY2018'!$B$5:$G$78,MATCH('2.1 Database'!$B66,'1.3 FY2018'!$B$5:$B$78,0),MATCH('2.1 Database'!C$3,'1.3 FY2018'!$B$4:$G$4,0))))</f>
        <v>R&amp;D expenses</v>
      </c>
      <c r="D66" s="6" t="str">
        <f>_xlfn.IFNA(INDEX('1.1 FY2016'!$B$5:$G$61,MATCH('2.1 Database'!$B66,'1.1 FY2016'!$B$5:$B$61,0),MATCH('2.1 Database'!D$3,'1.1 FY2016'!$B$4:$G$4,0)),_xlfn.IFNA(INDEX('1.2 FY2017'!$B$5:$G$86,MATCH('2.1 Database'!$B66,'1.2 FY2017'!$B$5:$B$86,0),MATCH('2.1 Database'!D$3,'1.2 FY2017'!$B$4:$G$4,0)),INDEX('1.3 FY2018'!$B$5:$G$78,MATCH('2.1 Database'!$B66,'1.3 FY2018'!$B$5:$B$78,0),MATCH('2.1 Database'!D$3,'1.3 FY2018'!$B$4:$G$4,0))))</f>
        <v>1924</v>
      </c>
      <c r="E66" s="6" t="str">
        <f>_xlfn.IFNA(INDEX('1.1 FY2016'!$B$5:$G$61,MATCH('2.1 Database'!$B66,'1.1 FY2016'!$B$5:$B$61,0),MATCH('2.1 Database'!E$3,'1.1 FY2016'!$B$4:$G$4,0)),_xlfn.IFNA(INDEX('1.2 FY2017'!$B$5:$G$86,MATCH('2.1 Database'!$B66,'1.2 FY2017'!$B$5:$B$86,0),MATCH('2.1 Database'!E$3,'1.2 FY2017'!$B$4:$G$4,0)),INDEX('1.3 FY2018'!$B$5:$G$78,MATCH('2.1 Database'!$B66,'1.3 FY2018'!$B$5:$B$78,0),MATCH('2.1 Database'!E$3,'1.3 FY2018'!$B$4:$G$4,0))))</f>
        <v>Generco Infrastructure Ltd</v>
      </c>
      <c r="F66" s="28">
        <f>-SUMIF('1.1 FY2016'!$B$5:$B$61,'2.1 Database'!$B66,'1.1 FY2016'!$F$5:$F$61)</f>
        <v>0</v>
      </c>
      <c r="G66" s="28">
        <f>-SUMIF('1.2 FY2017'!$B$5:$B$86,'2.1 Database'!$B66,'1.2 FY2017'!$F$5:$F$86)</f>
        <v>-10448.129999999999</v>
      </c>
      <c r="H66" s="28">
        <f>-SUMIF('1.3 FY2018'!$B$5:$B$78,'2.1 Database'!$B66,'1.3 FY2018'!$F$5:$F$78)</f>
        <v>-673.34299999999985</v>
      </c>
      <c r="J66" s="2" t="s">
        <v>226</v>
      </c>
    </row>
    <row r="67" spans="2:10" x14ac:dyDescent="0.25">
      <c r="B67" s="24" t="s">
        <v>179</v>
      </c>
      <c r="C67" s="6" t="str">
        <f>_xlfn.IFNA(INDEX('1.1 FY2016'!$B$5:$G$61,MATCH('2.1 Database'!$B67,'1.1 FY2016'!$B$5:$B$61,0),MATCH('2.1 Database'!C$3,'1.1 FY2016'!$B$4:$G$4,0)),_xlfn.IFNA(INDEX('1.2 FY2017'!$B$5:$G$86,MATCH('2.1 Database'!$B67,'1.2 FY2017'!$B$5:$B$86,0),MATCH('2.1 Database'!C$3,'1.2 FY2017'!$B$4:$G$4,0)),INDEX('1.3 FY2018'!$B$5:$G$78,MATCH('2.1 Database'!$B67,'1.3 FY2018'!$B$5:$B$78,0),MATCH('2.1 Database'!C$3,'1.3 FY2018'!$B$4:$G$4,0))))</f>
        <v>R&amp;D expenses</v>
      </c>
      <c r="D67" s="6" t="str">
        <f>_xlfn.IFNA(INDEX('1.1 FY2016'!$B$5:$G$61,MATCH('2.1 Database'!$B67,'1.1 FY2016'!$B$5:$B$61,0),MATCH('2.1 Database'!D$3,'1.1 FY2016'!$B$4:$G$4,0)),_xlfn.IFNA(INDEX('1.2 FY2017'!$B$5:$G$86,MATCH('2.1 Database'!$B67,'1.2 FY2017'!$B$5:$B$86,0),MATCH('2.1 Database'!D$3,'1.2 FY2017'!$B$4:$G$4,0)),INDEX('1.3 FY2018'!$B$5:$G$78,MATCH('2.1 Database'!$B67,'1.3 FY2018'!$B$5:$B$78,0),MATCH('2.1 Database'!D$3,'1.3 FY2018'!$B$4:$G$4,0))))</f>
        <v>2486</v>
      </c>
      <c r="E67" s="6" t="str">
        <f>_xlfn.IFNA(INDEX('1.1 FY2016'!$B$5:$G$61,MATCH('2.1 Database'!$B67,'1.1 FY2016'!$B$5:$B$61,0),MATCH('2.1 Database'!E$3,'1.1 FY2016'!$B$4:$G$4,0)),_xlfn.IFNA(INDEX('1.2 FY2017'!$B$5:$G$86,MATCH('2.1 Database'!$B67,'1.2 FY2017'!$B$5:$B$86,0),MATCH('2.1 Database'!E$3,'1.2 FY2017'!$B$4:$G$4,0)),INDEX('1.3 FY2018'!$B$5:$G$78,MATCH('2.1 Database'!$B67,'1.3 FY2018'!$B$5:$B$78,0),MATCH('2.1 Database'!E$3,'1.3 FY2018'!$B$4:$G$4,0))))</f>
        <v>Generco Exloration Ltd</v>
      </c>
      <c r="F67" s="28">
        <f>-SUMIF('1.1 FY2016'!$B$5:$B$61,'2.1 Database'!$B67,'1.1 FY2016'!$F$5:$F$61)</f>
        <v>0</v>
      </c>
      <c r="G67" s="28">
        <f>-SUMIF('1.2 FY2017'!$B$5:$B$86,'2.1 Database'!$B67,'1.2 FY2017'!$F$5:$F$86)</f>
        <v>-10412.5</v>
      </c>
      <c r="H67" s="28">
        <f>-SUMIF('1.3 FY2018'!$B$5:$B$78,'2.1 Database'!$B67,'1.3 FY2018'!$F$5:$F$78)</f>
        <v>0</v>
      </c>
      <c r="J67" s="2" t="s">
        <v>226</v>
      </c>
    </row>
    <row r="68" spans="2:10" x14ac:dyDescent="0.25">
      <c r="B68" s="24" t="s">
        <v>180</v>
      </c>
      <c r="C68" s="6" t="str">
        <f>_xlfn.IFNA(INDEX('1.1 FY2016'!$B$5:$G$61,MATCH('2.1 Database'!$B68,'1.1 FY2016'!$B$5:$B$61,0),MATCH('2.1 Database'!C$3,'1.1 FY2016'!$B$4:$G$4,0)),_xlfn.IFNA(INDEX('1.2 FY2017'!$B$5:$G$86,MATCH('2.1 Database'!$B68,'1.2 FY2017'!$B$5:$B$86,0),MATCH('2.1 Database'!C$3,'1.2 FY2017'!$B$4:$G$4,0)),INDEX('1.3 FY2018'!$B$5:$G$78,MATCH('2.1 Database'!$B68,'1.3 FY2018'!$B$5:$B$78,0),MATCH('2.1 Database'!C$3,'1.3 FY2018'!$B$4:$G$4,0))))</f>
        <v>Other personnel expenses</v>
      </c>
      <c r="D68" s="6">
        <f>_xlfn.IFNA(INDEX('1.1 FY2016'!$B$5:$G$61,MATCH('2.1 Database'!$B68,'1.1 FY2016'!$B$5:$B$61,0),MATCH('2.1 Database'!D$3,'1.1 FY2016'!$B$4:$G$4,0)),_xlfn.IFNA(INDEX('1.2 FY2017'!$B$5:$G$86,MATCH('2.1 Database'!$B68,'1.2 FY2017'!$B$5:$B$86,0),MATCH('2.1 Database'!D$3,'1.2 FY2017'!$B$4:$G$4,0)),INDEX('1.3 FY2018'!$B$5:$G$78,MATCH('2.1 Database'!$B68,'1.3 FY2018'!$B$5:$B$78,0),MATCH('2.1 Database'!D$3,'1.3 FY2018'!$B$4:$G$4,0))))</f>
        <v>111101</v>
      </c>
      <c r="E68" s="6" t="str">
        <f>_xlfn.IFNA(INDEX('1.1 FY2016'!$B$5:$G$61,MATCH('2.1 Database'!$B68,'1.1 FY2016'!$B$5:$B$61,0),MATCH('2.1 Database'!E$3,'1.1 FY2016'!$B$4:$G$4,0)),_xlfn.IFNA(INDEX('1.2 FY2017'!$B$5:$G$86,MATCH('2.1 Database'!$B68,'1.2 FY2017'!$B$5:$B$86,0),MATCH('2.1 Database'!E$3,'1.2 FY2017'!$B$4:$G$4,0)),INDEX('1.3 FY2018'!$B$5:$G$78,MATCH('2.1 Database'!$B68,'1.3 FY2018'!$B$5:$B$78,0),MATCH('2.1 Database'!E$3,'1.3 FY2018'!$B$4:$G$4,0))))</f>
        <v>Not assigned</v>
      </c>
      <c r="F68" s="28">
        <f>-SUMIF('1.1 FY2016'!$B$5:$B$61,'2.1 Database'!$B68,'1.1 FY2016'!$F$5:$F$61)</f>
        <v>0</v>
      </c>
      <c r="G68" s="28">
        <f>-SUMIF('1.2 FY2017'!$B$5:$B$86,'2.1 Database'!$B68,'1.2 FY2017'!$F$5:$F$86)</f>
        <v>-6919.8499999999995</v>
      </c>
      <c r="H68" s="28">
        <f>-SUMIF('1.3 FY2018'!$B$5:$B$78,'2.1 Database'!$B68,'1.3 FY2018'!$F$5:$F$78)</f>
        <v>0</v>
      </c>
      <c r="J68" s="2" t="s">
        <v>227</v>
      </c>
    </row>
    <row r="69" spans="2:10" x14ac:dyDescent="0.25">
      <c r="B69" s="24" t="s">
        <v>181</v>
      </c>
      <c r="C69" s="6" t="str">
        <f>_xlfn.IFNA(INDEX('1.1 FY2016'!$B$5:$G$61,MATCH('2.1 Database'!$B69,'1.1 FY2016'!$B$5:$B$61,0),MATCH('2.1 Database'!C$3,'1.1 FY2016'!$B$4:$G$4,0)),_xlfn.IFNA(INDEX('1.2 FY2017'!$B$5:$G$86,MATCH('2.1 Database'!$B69,'1.2 FY2017'!$B$5:$B$86,0),MATCH('2.1 Database'!C$3,'1.2 FY2017'!$B$4:$G$4,0)),INDEX('1.3 FY2018'!$B$5:$G$78,MATCH('2.1 Database'!$B69,'1.3 FY2018'!$B$5:$B$78,0),MATCH('2.1 Database'!C$3,'1.3 FY2018'!$B$4:$G$4,0))))</f>
        <v>D&amp;A</v>
      </c>
      <c r="D69" s="6">
        <f>_xlfn.IFNA(INDEX('1.1 FY2016'!$B$5:$G$61,MATCH('2.1 Database'!$B69,'1.1 FY2016'!$B$5:$B$61,0),MATCH('2.1 Database'!D$3,'1.1 FY2016'!$B$4:$G$4,0)),_xlfn.IFNA(INDEX('1.2 FY2017'!$B$5:$G$86,MATCH('2.1 Database'!$B69,'1.2 FY2017'!$B$5:$B$86,0),MATCH('2.1 Database'!D$3,'1.2 FY2017'!$B$4:$G$4,0)),INDEX('1.3 FY2018'!$B$5:$G$78,MATCH('2.1 Database'!$B69,'1.3 FY2018'!$B$5:$B$78,0),MATCH('2.1 Database'!D$3,'1.3 FY2018'!$B$4:$G$4,0))))</f>
        <v>111101</v>
      </c>
      <c r="E69" s="6" t="str">
        <f>_xlfn.IFNA(INDEX('1.1 FY2016'!$B$5:$G$61,MATCH('2.1 Database'!$B69,'1.1 FY2016'!$B$5:$B$61,0),MATCH('2.1 Database'!E$3,'1.1 FY2016'!$B$4:$G$4,0)),_xlfn.IFNA(INDEX('1.2 FY2017'!$B$5:$G$86,MATCH('2.1 Database'!$B69,'1.2 FY2017'!$B$5:$B$86,0),MATCH('2.1 Database'!E$3,'1.2 FY2017'!$B$4:$G$4,0)),INDEX('1.3 FY2018'!$B$5:$G$78,MATCH('2.1 Database'!$B69,'1.3 FY2018'!$B$5:$B$78,0),MATCH('2.1 Database'!E$3,'1.3 FY2018'!$B$4:$G$4,0))))</f>
        <v>Not assigned</v>
      </c>
      <c r="F69" s="28">
        <f>-SUMIF('1.1 FY2016'!$B$5:$B$61,'2.1 Database'!$B69,'1.1 FY2016'!$F$5:$F$61)</f>
        <v>0</v>
      </c>
      <c r="G69" s="28">
        <f>-SUMIF('1.2 FY2017'!$B$5:$B$86,'2.1 Database'!$B69,'1.2 FY2017'!$F$5:$F$86)</f>
        <v>-146328.94499999998</v>
      </c>
      <c r="H69" s="28">
        <f>-SUMIF('1.3 FY2018'!$B$5:$B$78,'2.1 Database'!$B69,'1.3 FY2018'!$F$5:$F$78)</f>
        <v>-12593.355</v>
      </c>
      <c r="J69" s="2" t="s">
        <v>72</v>
      </c>
    </row>
    <row r="70" spans="2:10" x14ac:dyDescent="0.25">
      <c r="B70" s="24" t="s">
        <v>182</v>
      </c>
      <c r="C70" s="6" t="str">
        <f>_xlfn.IFNA(INDEX('1.1 FY2016'!$B$5:$G$61,MATCH('2.1 Database'!$B70,'1.1 FY2016'!$B$5:$B$61,0),MATCH('2.1 Database'!C$3,'1.1 FY2016'!$B$4:$G$4,0)),_xlfn.IFNA(INDEX('1.2 FY2017'!$B$5:$G$86,MATCH('2.1 Database'!$B70,'1.2 FY2017'!$B$5:$B$86,0),MATCH('2.1 Database'!C$3,'1.2 FY2017'!$B$4:$G$4,0)),INDEX('1.3 FY2018'!$B$5:$G$78,MATCH('2.1 Database'!$B70,'1.3 FY2018'!$B$5:$B$78,0),MATCH('2.1 Database'!C$3,'1.3 FY2018'!$B$4:$G$4,0))))</f>
        <v>Gains from disposal of PP&amp;E</v>
      </c>
      <c r="D70" s="6">
        <f>_xlfn.IFNA(INDEX('1.1 FY2016'!$B$5:$G$61,MATCH('2.1 Database'!$B70,'1.1 FY2016'!$B$5:$B$61,0),MATCH('2.1 Database'!D$3,'1.1 FY2016'!$B$4:$G$4,0)),_xlfn.IFNA(INDEX('1.2 FY2017'!$B$5:$G$86,MATCH('2.1 Database'!$B70,'1.2 FY2017'!$B$5:$B$86,0),MATCH('2.1 Database'!D$3,'1.2 FY2017'!$B$4:$G$4,0)),INDEX('1.3 FY2018'!$B$5:$G$78,MATCH('2.1 Database'!$B70,'1.3 FY2018'!$B$5:$B$78,0),MATCH('2.1 Database'!D$3,'1.3 FY2018'!$B$4:$G$4,0))))</f>
        <v>111111</v>
      </c>
      <c r="E70" s="6" t="str">
        <f>_xlfn.IFNA(INDEX('1.1 FY2016'!$B$5:$G$61,MATCH('2.1 Database'!$B70,'1.1 FY2016'!$B$5:$B$61,0),MATCH('2.1 Database'!E$3,'1.1 FY2016'!$B$4:$G$4,0)),_xlfn.IFNA(INDEX('1.2 FY2017'!$B$5:$G$86,MATCH('2.1 Database'!$B70,'1.2 FY2017'!$B$5:$B$86,0),MATCH('2.1 Database'!E$3,'1.2 FY2017'!$B$4:$G$4,0)),INDEX('1.3 FY2018'!$B$5:$G$78,MATCH('2.1 Database'!$B70,'1.3 FY2018'!$B$5:$B$78,0),MATCH('2.1 Database'!E$3,'1.3 FY2018'!$B$4:$G$4,0))))</f>
        <v>External</v>
      </c>
      <c r="F70" s="28">
        <f>-SUMIF('1.1 FY2016'!$B$5:$B$61,'2.1 Database'!$B70,'1.1 FY2016'!$F$5:$F$61)</f>
        <v>0</v>
      </c>
      <c r="G70" s="28">
        <f>-SUMIF('1.2 FY2017'!$B$5:$B$86,'2.1 Database'!$B70,'1.2 FY2017'!$F$5:$F$86)</f>
        <v>121553.07499999998</v>
      </c>
      <c r="H70" s="28">
        <f>-SUMIF('1.3 FY2018'!$B$5:$B$78,'2.1 Database'!$B70,'1.3 FY2018'!$F$5:$F$78)</f>
        <v>0</v>
      </c>
      <c r="J70" s="2" t="s">
        <v>233</v>
      </c>
    </row>
    <row r="71" spans="2:10" x14ac:dyDescent="0.25">
      <c r="B71" s="24" t="s">
        <v>183</v>
      </c>
      <c r="C71" s="6" t="str">
        <f>_xlfn.IFNA(INDEX('1.1 FY2016'!$B$5:$G$61,MATCH('2.1 Database'!$B71,'1.1 FY2016'!$B$5:$B$61,0),MATCH('2.1 Database'!C$3,'1.1 FY2016'!$B$4:$G$4,0)),_xlfn.IFNA(INDEX('1.2 FY2017'!$B$5:$G$86,MATCH('2.1 Database'!$B71,'1.2 FY2017'!$B$5:$B$86,0),MATCH('2.1 Database'!C$3,'1.2 FY2017'!$B$4:$G$4,0)),INDEX('1.3 FY2018'!$B$5:$G$78,MATCH('2.1 Database'!$B71,'1.3 FY2018'!$B$5:$B$78,0),MATCH('2.1 Database'!C$3,'1.3 FY2018'!$B$4:$G$4,0))))</f>
        <v>Corporate recharges</v>
      </c>
      <c r="D71" s="6">
        <f>_xlfn.IFNA(INDEX('1.1 FY2016'!$B$5:$G$61,MATCH('2.1 Database'!$B71,'1.1 FY2016'!$B$5:$B$61,0),MATCH('2.1 Database'!D$3,'1.1 FY2016'!$B$4:$G$4,0)),_xlfn.IFNA(INDEX('1.2 FY2017'!$B$5:$G$86,MATCH('2.1 Database'!$B71,'1.2 FY2017'!$B$5:$B$86,0),MATCH('2.1 Database'!D$3,'1.2 FY2017'!$B$4:$G$4,0)),INDEX('1.3 FY2018'!$B$5:$G$78,MATCH('2.1 Database'!$B71,'1.3 FY2018'!$B$5:$B$78,0),MATCH('2.1 Database'!D$3,'1.3 FY2018'!$B$4:$G$4,0))))</f>
        <v>19</v>
      </c>
      <c r="E71" s="6" t="str">
        <f>_xlfn.IFNA(INDEX('1.1 FY2016'!$B$5:$G$61,MATCH('2.1 Database'!$B71,'1.1 FY2016'!$B$5:$B$61,0),MATCH('2.1 Database'!E$3,'1.1 FY2016'!$B$4:$G$4,0)),_xlfn.IFNA(INDEX('1.2 FY2017'!$B$5:$G$86,MATCH('2.1 Database'!$B71,'1.2 FY2017'!$B$5:$B$86,0),MATCH('2.1 Database'!E$3,'1.2 FY2017'!$B$4:$G$4,0)),INDEX('1.3 FY2018'!$B$5:$G$78,MATCH('2.1 Database'!$B71,'1.3 FY2018'!$B$5:$B$78,0),MATCH('2.1 Database'!E$3,'1.3 FY2018'!$B$4:$G$4,0))))</f>
        <v>Generco Cosmetics Ltd</v>
      </c>
      <c r="F71" s="28">
        <f>-SUMIF('1.1 FY2016'!$B$5:$B$61,'2.1 Database'!$B71,'1.1 FY2016'!$F$5:$F$61)</f>
        <v>0</v>
      </c>
      <c r="G71" s="28">
        <f>-SUMIF('1.2 FY2017'!$B$5:$B$86,'2.1 Database'!$B71,'1.2 FY2017'!$F$5:$F$86)</f>
        <v>416278.66</v>
      </c>
      <c r="H71" s="28">
        <f>-SUMIF('1.3 FY2018'!$B$5:$B$78,'2.1 Database'!$B71,'1.3 FY2018'!$F$5:$F$78)</f>
        <v>622966.38600000006</v>
      </c>
      <c r="J71" s="2" t="s">
        <v>228</v>
      </c>
    </row>
    <row r="72" spans="2:10" x14ac:dyDescent="0.25">
      <c r="B72" s="24" t="s">
        <v>184</v>
      </c>
      <c r="C72" s="6" t="str">
        <f>_xlfn.IFNA(INDEX('1.1 FY2016'!$B$5:$G$61,MATCH('2.1 Database'!$B72,'1.1 FY2016'!$B$5:$B$61,0),MATCH('2.1 Database'!C$3,'1.1 FY2016'!$B$4:$G$4,0)),_xlfn.IFNA(INDEX('1.2 FY2017'!$B$5:$G$86,MATCH('2.1 Database'!$B72,'1.2 FY2017'!$B$5:$B$86,0),MATCH('2.1 Database'!C$3,'1.2 FY2017'!$B$4:$G$4,0)),INDEX('1.3 FY2018'!$B$5:$G$78,MATCH('2.1 Database'!$B72,'1.3 FY2018'!$B$5:$B$78,0),MATCH('2.1 Database'!C$3,'1.3 FY2018'!$B$4:$G$4,0))))</f>
        <v>Corporate recharges</v>
      </c>
      <c r="D72" s="6" t="str">
        <f>_xlfn.IFNA(INDEX('1.1 FY2016'!$B$5:$G$61,MATCH('2.1 Database'!$B72,'1.1 FY2016'!$B$5:$B$61,0),MATCH('2.1 Database'!D$3,'1.1 FY2016'!$B$4:$G$4,0)),_xlfn.IFNA(INDEX('1.2 FY2017'!$B$5:$G$86,MATCH('2.1 Database'!$B72,'1.2 FY2017'!$B$5:$B$86,0),MATCH('2.1 Database'!D$3,'1.2 FY2017'!$B$4:$G$4,0)),INDEX('1.3 FY2018'!$B$5:$G$78,MATCH('2.1 Database'!$B72,'1.3 FY2018'!$B$5:$B$78,0),MATCH('2.1 Database'!D$3,'1.3 FY2018'!$B$4:$G$4,0))))</f>
        <v>1076</v>
      </c>
      <c r="E72" s="6" t="str">
        <f>_xlfn.IFNA(INDEX('1.1 FY2016'!$B$5:$G$61,MATCH('2.1 Database'!$B72,'1.1 FY2016'!$B$5:$B$61,0),MATCH('2.1 Database'!E$3,'1.1 FY2016'!$B$4:$G$4,0)),_xlfn.IFNA(INDEX('1.2 FY2017'!$B$5:$G$86,MATCH('2.1 Database'!$B72,'1.2 FY2017'!$B$5:$B$86,0),MATCH('2.1 Database'!E$3,'1.2 FY2017'!$B$4:$G$4,0)),INDEX('1.3 FY2018'!$B$5:$G$78,MATCH('2.1 Database'!$B72,'1.3 FY2018'!$B$5:$B$78,0),MATCH('2.1 Database'!E$3,'1.3 FY2018'!$B$4:$G$4,0))))</f>
        <v>Generco Trading Ltd</v>
      </c>
      <c r="F72" s="28">
        <f>-SUMIF('1.1 FY2016'!$B$5:$B$61,'2.1 Database'!$B72,'1.1 FY2016'!$F$5:$F$61)</f>
        <v>0</v>
      </c>
      <c r="G72" s="28">
        <f>-SUMIF('1.2 FY2017'!$B$5:$B$86,'2.1 Database'!$B72,'1.2 FY2017'!$F$5:$F$86)</f>
        <v>364243.84499999997</v>
      </c>
      <c r="H72" s="28">
        <f>-SUMIF('1.3 FY2018'!$B$5:$B$78,'2.1 Database'!$B72,'1.3 FY2018'!$F$5:$F$78)</f>
        <v>0</v>
      </c>
      <c r="J72" s="2" t="s">
        <v>228</v>
      </c>
    </row>
    <row r="73" spans="2:10" x14ac:dyDescent="0.25">
      <c r="B73" s="24" t="s">
        <v>185</v>
      </c>
      <c r="C73" s="6" t="str">
        <f>_xlfn.IFNA(INDEX('1.1 FY2016'!$B$5:$G$61,MATCH('2.1 Database'!$B73,'1.1 FY2016'!$B$5:$B$61,0),MATCH('2.1 Database'!C$3,'1.1 FY2016'!$B$4:$G$4,0)),_xlfn.IFNA(INDEX('1.2 FY2017'!$B$5:$G$86,MATCH('2.1 Database'!$B73,'1.2 FY2017'!$B$5:$B$86,0),MATCH('2.1 Database'!C$3,'1.2 FY2017'!$B$4:$G$4,0)),INDEX('1.3 FY2018'!$B$5:$G$78,MATCH('2.1 Database'!$B73,'1.3 FY2018'!$B$5:$B$78,0),MATCH('2.1 Database'!C$3,'1.3 FY2018'!$B$4:$G$4,0))))</f>
        <v>Corporate recharges</v>
      </c>
      <c r="D73" s="6" t="str">
        <f>_xlfn.IFNA(INDEX('1.1 FY2016'!$B$5:$G$61,MATCH('2.1 Database'!$B73,'1.1 FY2016'!$B$5:$B$61,0),MATCH('2.1 Database'!D$3,'1.1 FY2016'!$B$4:$G$4,0)),_xlfn.IFNA(INDEX('1.2 FY2017'!$B$5:$G$86,MATCH('2.1 Database'!$B73,'1.2 FY2017'!$B$5:$B$86,0),MATCH('2.1 Database'!D$3,'1.2 FY2017'!$B$4:$G$4,0)),INDEX('1.3 FY2018'!$B$5:$G$78,MATCH('2.1 Database'!$B73,'1.3 FY2018'!$B$5:$B$78,0),MATCH('2.1 Database'!D$3,'1.3 FY2018'!$B$4:$G$4,0))))</f>
        <v>1086</v>
      </c>
      <c r="E73" s="6" t="str">
        <f>_xlfn.IFNA(INDEX('1.1 FY2016'!$B$5:$G$61,MATCH('2.1 Database'!$B73,'1.1 FY2016'!$B$5:$B$61,0),MATCH('2.1 Database'!E$3,'1.1 FY2016'!$B$4:$G$4,0)),_xlfn.IFNA(INDEX('1.2 FY2017'!$B$5:$G$86,MATCH('2.1 Database'!$B73,'1.2 FY2017'!$B$5:$B$86,0),MATCH('2.1 Database'!E$3,'1.2 FY2017'!$B$4:$G$4,0)),INDEX('1.3 FY2018'!$B$5:$G$78,MATCH('2.1 Database'!$B73,'1.3 FY2018'!$B$5:$B$78,0),MATCH('2.1 Database'!E$3,'1.3 FY2018'!$B$4:$G$4,0))))</f>
        <v>G&amp;Resources Ltd</v>
      </c>
      <c r="F73" s="28">
        <f>-SUMIF('1.1 FY2016'!$B$5:$B$61,'2.1 Database'!$B73,'1.1 FY2016'!$F$5:$F$61)</f>
        <v>0</v>
      </c>
      <c r="G73" s="28">
        <f>-SUMIF('1.2 FY2017'!$B$5:$B$86,'2.1 Database'!$B73,'1.2 FY2017'!$F$5:$F$86)</f>
        <v>0</v>
      </c>
      <c r="H73" s="28">
        <f>-SUMIF('1.3 FY2018'!$B$5:$B$78,'2.1 Database'!$B73,'1.3 FY2018'!$F$5:$F$78)</f>
        <v>0</v>
      </c>
      <c r="J73" s="2" t="s">
        <v>228</v>
      </c>
    </row>
    <row r="74" spans="2:10" x14ac:dyDescent="0.25">
      <c r="B74" s="24" t="s">
        <v>186</v>
      </c>
      <c r="C74" s="6" t="str">
        <f>_xlfn.IFNA(INDEX('1.1 FY2016'!$B$5:$G$61,MATCH('2.1 Database'!$B74,'1.1 FY2016'!$B$5:$B$61,0),MATCH('2.1 Database'!C$3,'1.1 FY2016'!$B$4:$G$4,0)),_xlfn.IFNA(INDEX('1.2 FY2017'!$B$5:$G$86,MATCH('2.1 Database'!$B74,'1.2 FY2017'!$B$5:$B$86,0),MATCH('2.1 Database'!C$3,'1.2 FY2017'!$B$4:$G$4,0)),INDEX('1.3 FY2018'!$B$5:$G$78,MATCH('2.1 Database'!$B74,'1.3 FY2018'!$B$5:$B$78,0),MATCH('2.1 Database'!C$3,'1.3 FY2018'!$B$4:$G$4,0))))</f>
        <v>Corporate recharges</v>
      </c>
      <c r="D74" s="6" t="str">
        <f>_xlfn.IFNA(INDEX('1.1 FY2016'!$B$5:$G$61,MATCH('2.1 Database'!$B74,'1.1 FY2016'!$B$5:$B$61,0),MATCH('2.1 Database'!D$3,'1.1 FY2016'!$B$4:$G$4,0)),_xlfn.IFNA(INDEX('1.2 FY2017'!$B$5:$G$86,MATCH('2.1 Database'!$B74,'1.2 FY2017'!$B$5:$B$86,0),MATCH('2.1 Database'!D$3,'1.2 FY2017'!$B$4:$G$4,0)),INDEX('1.3 FY2018'!$B$5:$G$78,MATCH('2.1 Database'!$B74,'1.3 FY2018'!$B$5:$B$78,0),MATCH('2.1 Database'!D$3,'1.3 FY2018'!$B$4:$G$4,0))))</f>
        <v>47037</v>
      </c>
      <c r="E74" s="6" t="str">
        <f>_xlfn.IFNA(INDEX('1.1 FY2016'!$B$5:$G$61,MATCH('2.1 Database'!$B74,'1.1 FY2016'!$B$5:$B$61,0),MATCH('2.1 Database'!E$3,'1.1 FY2016'!$B$4:$G$4,0)),_xlfn.IFNA(INDEX('1.2 FY2017'!$B$5:$G$86,MATCH('2.1 Database'!$B74,'1.2 FY2017'!$B$5:$B$86,0),MATCH('2.1 Database'!E$3,'1.2 FY2017'!$B$4:$G$4,0)),INDEX('1.3 FY2018'!$B$5:$G$78,MATCH('2.1 Database'!$B74,'1.3 FY2018'!$B$5:$B$78,0),MATCH('2.1 Database'!E$3,'1.3 FY2018'!$B$4:$G$4,0))))</f>
        <v>G&amp;CR Global Ltd</v>
      </c>
      <c r="F74" s="28">
        <f>-SUMIF('1.1 FY2016'!$B$5:$B$61,'2.1 Database'!$B74,'1.1 FY2016'!$F$5:$F$61)</f>
        <v>0</v>
      </c>
      <c r="G74" s="28">
        <f>-SUMIF('1.2 FY2017'!$B$5:$B$86,'2.1 Database'!$B74,'1.2 FY2017'!$F$5:$F$86)</f>
        <v>482611.04499999998</v>
      </c>
      <c r="H74" s="28">
        <f>-SUMIF('1.3 FY2018'!$B$5:$B$78,'2.1 Database'!$B74,'1.3 FY2018'!$F$5:$F$78)</f>
        <v>1948832.1429999999</v>
      </c>
      <c r="J74" s="2" t="s">
        <v>228</v>
      </c>
    </row>
    <row r="75" spans="2:10" x14ac:dyDescent="0.25">
      <c r="B75" s="24" t="s">
        <v>187</v>
      </c>
      <c r="C75" s="6" t="str">
        <f>_xlfn.IFNA(INDEX('1.1 FY2016'!$B$5:$G$61,MATCH('2.1 Database'!$B75,'1.1 FY2016'!$B$5:$B$61,0),MATCH('2.1 Database'!C$3,'1.1 FY2016'!$B$4:$G$4,0)),_xlfn.IFNA(INDEX('1.2 FY2017'!$B$5:$G$86,MATCH('2.1 Database'!$B75,'1.2 FY2017'!$B$5:$B$86,0),MATCH('2.1 Database'!C$3,'1.2 FY2017'!$B$4:$G$4,0)),INDEX('1.3 FY2018'!$B$5:$G$78,MATCH('2.1 Database'!$B75,'1.3 FY2018'!$B$5:$B$78,0),MATCH('2.1 Database'!C$3,'1.3 FY2018'!$B$4:$G$4,0))))</f>
        <v>Other income</v>
      </c>
      <c r="D75" s="6">
        <f>_xlfn.IFNA(INDEX('1.1 FY2016'!$B$5:$G$61,MATCH('2.1 Database'!$B75,'1.1 FY2016'!$B$5:$B$61,0),MATCH('2.1 Database'!D$3,'1.1 FY2016'!$B$4:$G$4,0)),_xlfn.IFNA(INDEX('1.2 FY2017'!$B$5:$G$86,MATCH('2.1 Database'!$B75,'1.2 FY2017'!$B$5:$B$86,0),MATCH('2.1 Database'!D$3,'1.2 FY2017'!$B$4:$G$4,0)),INDEX('1.3 FY2018'!$B$5:$G$78,MATCH('2.1 Database'!$B75,'1.3 FY2018'!$B$5:$B$78,0),MATCH('2.1 Database'!D$3,'1.3 FY2018'!$B$4:$G$4,0))))</f>
        <v>88</v>
      </c>
      <c r="E75" s="6" t="str">
        <f>_xlfn.IFNA(INDEX('1.1 FY2016'!$B$5:$G$61,MATCH('2.1 Database'!$B75,'1.1 FY2016'!$B$5:$B$61,0),MATCH('2.1 Database'!E$3,'1.1 FY2016'!$B$4:$G$4,0)),_xlfn.IFNA(INDEX('1.2 FY2017'!$B$5:$G$86,MATCH('2.1 Database'!$B75,'1.2 FY2017'!$B$5:$B$86,0),MATCH('2.1 Database'!E$3,'1.2 FY2017'!$B$4:$G$4,0)),INDEX('1.3 FY2018'!$B$5:$G$78,MATCH('2.1 Database'!$B75,'1.3 FY2018'!$B$5:$B$78,0),MATCH('2.1 Database'!E$3,'1.3 FY2018'!$B$4:$G$4,0))))</f>
        <v>Generco Ltd</v>
      </c>
      <c r="F75" s="28">
        <f>-SUMIF('1.1 FY2016'!$B$5:$B$61,'2.1 Database'!$B75,'1.1 FY2016'!$F$5:$F$61)</f>
        <v>0</v>
      </c>
      <c r="G75" s="28">
        <f>-SUMIF('1.2 FY2017'!$B$5:$B$86,'2.1 Database'!$B75,'1.2 FY2017'!$F$5:$F$86)</f>
        <v>2436.35</v>
      </c>
      <c r="H75" s="28">
        <f>-SUMIF('1.3 FY2018'!$B$5:$B$78,'2.1 Database'!$B75,'1.3 FY2018'!$F$5:$F$78)</f>
        <v>0</v>
      </c>
      <c r="J75" s="2" t="s">
        <v>74</v>
      </c>
    </row>
    <row r="76" spans="2:10" x14ac:dyDescent="0.25">
      <c r="B76" s="24" t="s">
        <v>188</v>
      </c>
      <c r="C76" s="6" t="str">
        <f>_xlfn.IFNA(INDEX('1.1 FY2016'!$B$5:$G$61,MATCH('2.1 Database'!$B76,'1.1 FY2016'!$B$5:$B$61,0),MATCH('2.1 Database'!C$3,'1.1 FY2016'!$B$4:$G$4,0)),_xlfn.IFNA(INDEX('1.2 FY2017'!$B$5:$G$86,MATCH('2.1 Database'!$B76,'1.2 FY2017'!$B$5:$B$86,0),MATCH('2.1 Database'!C$3,'1.2 FY2017'!$B$4:$G$4,0)),INDEX('1.3 FY2018'!$B$5:$G$78,MATCH('2.1 Database'!$B76,'1.3 FY2018'!$B$5:$B$78,0),MATCH('2.1 Database'!C$3,'1.3 FY2018'!$B$4:$G$4,0))))</f>
        <v>Concession fees other</v>
      </c>
      <c r="D76" s="6">
        <f>_xlfn.IFNA(INDEX('1.1 FY2016'!$B$5:$G$61,MATCH('2.1 Database'!$B76,'1.1 FY2016'!$B$5:$B$61,0),MATCH('2.1 Database'!D$3,'1.1 FY2016'!$B$4:$G$4,0)),_xlfn.IFNA(INDEX('1.2 FY2017'!$B$5:$G$86,MATCH('2.1 Database'!$B76,'1.2 FY2017'!$B$5:$B$86,0),MATCH('2.1 Database'!D$3,'1.2 FY2017'!$B$4:$G$4,0)),INDEX('1.3 FY2018'!$B$5:$G$78,MATCH('2.1 Database'!$B76,'1.3 FY2018'!$B$5:$B$78,0),MATCH('2.1 Database'!D$3,'1.3 FY2018'!$B$4:$G$4,0))))</f>
        <v>111101</v>
      </c>
      <c r="E76" s="6" t="str">
        <f>_xlfn.IFNA(INDEX('1.1 FY2016'!$B$5:$G$61,MATCH('2.1 Database'!$B76,'1.1 FY2016'!$B$5:$B$61,0),MATCH('2.1 Database'!E$3,'1.1 FY2016'!$B$4:$G$4,0)),_xlfn.IFNA(INDEX('1.2 FY2017'!$B$5:$G$86,MATCH('2.1 Database'!$B76,'1.2 FY2017'!$B$5:$B$86,0),MATCH('2.1 Database'!E$3,'1.2 FY2017'!$B$4:$G$4,0)),INDEX('1.3 FY2018'!$B$5:$G$78,MATCH('2.1 Database'!$B76,'1.3 FY2018'!$B$5:$B$78,0),MATCH('2.1 Database'!E$3,'1.3 FY2018'!$B$4:$G$4,0))))</f>
        <v>Not assigned</v>
      </c>
      <c r="F76" s="28">
        <f>-SUMIF('1.1 FY2016'!$B$5:$B$61,'2.1 Database'!$B76,'1.1 FY2016'!$F$5:$F$61)</f>
        <v>0</v>
      </c>
      <c r="G76" s="28">
        <f>-SUMIF('1.2 FY2017'!$B$5:$B$86,'2.1 Database'!$B76,'1.2 FY2017'!$F$5:$F$86)</f>
        <v>-81.339999999999989</v>
      </c>
      <c r="H76" s="28">
        <f>-SUMIF('1.3 FY2018'!$B$5:$B$78,'2.1 Database'!$B76,'1.3 FY2018'!$F$5:$F$78)</f>
        <v>0</v>
      </c>
      <c r="J76" s="2" t="s">
        <v>226</v>
      </c>
    </row>
    <row r="77" spans="2:10" x14ac:dyDescent="0.25">
      <c r="B77" s="24" t="s">
        <v>189</v>
      </c>
      <c r="C77" s="6" t="str">
        <f>_xlfn.IFNA(INDEX('1.1 FY2016'!$B$5:$G$61,MATCH('2.1 Database'!$B77,'1.1 FY2016'!$B$5:$B$61,0),MATCH('2.1 Database'!C$3,'1.1 FY2016'!$B$4:$G$4,0)),_xlfn.IFNA(INDEX('1.2 FY2017'!$B$5:$G$86,MATCH('2.1 Database'!$B77,'1.2 FY2017'!$B$5:$B$86,0),MATCH('2.1 Database'!C$3,'1.2 FY2017'!$B$4:$G$4,0)),INDEX('1.3 FY2018'!$B$5:$G$78,MATCH('2.1 Database'!$B77,'1.3 FY2018'!$B$5:$B$78,0),MATCH('2.1 Database'!C$3,'1.3 FY2018'!$B$4:$G$4,0))))</f>
        <v>Service expenses</v>
      </c>
      <c r="D77" s="6">
        <f>_xlfn.IFNA(INDEX('1.1 FY2016'!$B$5:$G$61,MATCH('2.1 Database'!$B77,'1.1 FY2016'!$B$5:$B$61,0),MATCH('2.1 Database'!D$3,'1.1 FY2016'!$B$4:$G$4,0)),_xlfn.IFNA(INDEX('1.2 FY2017'!$B$5:$G$86,MATCH('2.1 Database'!$B77,'1.2 FY2017'!$B$5:$B$86,0),MATCH('2.1 Database'!D$3,'1.2 FY2017'!$B$4:$G$4,0)),INDEX('1.3 FY2018'!$B$5:$G$78,MATCH('2.1 Database'!$B77,'1.3 FY2018'!$B$5:$B$78,0),MATCH('2.1 Database'!D$3,'1.3 FY2018'!$B$4:$G$4,0))))</f>
        <v>105</v>
      </c>
      <c r="E77" s="6" t="str">
        <f>_xlfn.IFNA(INDEX('1.1 FY2016'!$B$5:$G$61,MATCH('2.1 Database'!$B77,'1.1 FY2016'!$B$5:$B$61,0),MATCH('2.1 Database'!E$3,'1.1 FY2016'!$B$4:$G$4,0)),_xlfn.IFNA(INDEX('1.2 FY2017'!$B$5:$G$86,MATCH('2.1 Database'!$B77,'1.2 FY2017'!$B$5:$B$86,0),MATCH('2.1 Database'!E$3,'1.2 FY2017'!$B$4:$G$4,0)),INDEX('1.3 FY2018'!$B$5:$G$78,MATCH('2.1 Database'!$B77,'1.3 FY2018'!$B$5:$B$78,0),MATCH('2.1 Database'!E$3,'1.3 FY2018'!$B$4:$G$4,0))))</f>
        <v>Generco Healthcare Ltd</v>
      </c>
      <c r="F77" s="28">
        <f>-SUMIF('1.1 FY2016'!$B$5:$B$61,'2.1 Database'!$B77,'1.1 FY2016'!$F$5:$F$61)</f>
        <v>0</v>
      </c>
      <c r="G77" s="28">
        <f>-SUMIF('1.2 FY2017'!$B$5:$B$86,'2.1 Database'!$B77,'1.2 FY2017'!$F$5:$F$86)</f>
        <v>-276920</v>
      </c>
      <c r="H77" s="28">
        <f>-SUMIF('1.3 FY2018'!$B$5:$B$78,'2.1 Database'!$B77,'1.3 FY2018'!$F$5:$F$78)</f>
        <v>-473575.46100000001</v>
      </c>
      <c r="J77" s="2" t="s">
        <v>230</v>
      </c>
    </row>
    <row r="78" spans="2:10" x14ac:dyDescent="0.25">
      <c r="B78" s="24" t="s">
        <v>190</v>
      </c>
      <c r="C78" s="6" t="str">
        <f>_xlfn.IFNA(INDEX('1.1 FY2016'!$B$5:$G$61,MATCH('2.1 Database'!$B78,'1.1 FY2016'!$B$5:$B$61,0),MATCH('2.1 Database'!C$3,'1.1 FY2016'!$B$4:$G$4,0)),_xlfn.IFNA(INDEX('1.2 FY2017'!$B$5:$G$86,MATCH('2.1 Database'!$B78,'1.2 FY2017'!$B$5:$B$86,0),MATCH('2.1 Database'!C$3,'1.2 FY2017'!$B$4:$G$4,0)),INDEX('1.3 FY2018'!$B$5:$G$78,MATCH('2.1 Database'!$B78,'1.3 FY2018'!$B$5:$B$78,0),MATCH('2.1 Database'!C$3,'1.3 FY2018'!$B$4:$G$4,0))))</f>
        <v>Insurance expenses</v>
      </c>
      <c r="D78" s="6">
        <f>_xlfn.IFNA(INDEX('1.1 FY2016'!$B$5:$G$61,MATCH('2.1 Database'!$B78,'1.1 FY2016'!$B$5:$B$61,0),MATCH('2.1 Database'!D$3,'1.1 FY2016'!$B$4:$G$4,0)),_xlfn.IFNA(INDEX('1.2 FY2017'!$B$5:$G$86,MATCH('2.1 Database'!$B78,'1.2 FY2017'!$B$5:$B$86,0),MATCH('2.1 Database'!D$3,'1.2 FY2017'!$B$4:$G$4,0)),INDEX('1.3 FY2018'!$B$5:$G$78,MATCH('2.1 Database'!$B78,'1.3 FY2018'!$B$5:$B$78,0),MATCH('2.1 Database'!D$3,'1.3 FY2018'!$B$4:$G$4,0))))</f>
        <v>1900</v>
      </c>
      <c r="E78" s="6" t="str">
        <f>_xlfn.IFNA(INDEX('1.1 FY2016'!$B$5:$G$61,MATCH('2.1 Database'!$B78,'1.1 FY2016'!$B$5:$B$61,0),MATCH('2.1 Database'!E$3,'1.1 FY2016'!$B$4:$G$4,0)),_xlfn.IFNA(INDEX('1.2 FY2017'!$B$5:$G$86,MATCH('2.1 Database'!$B78,'1.2 FY2017'!$B$5:$B$86,0),MATCH('2.1 Database'!E$3,'1.2 FY2017'!$B$4:$G$4,0)),INDEX('1.3 FY2018'!$B$5:$G$78,MATCH('2.1 Database'!$B78,'1.3 FY2018'!$B$5:$B$78,0),MATCH('2.1 Database'!E$3,'1.3 FY2018'!$B$4:$G$4,0))))</f>
        <v>Generco Metals Gm</v>
      </c>
      <c r="F78" s="28">
        <f>-SUMIF('1.1 FY2016'!$B$5:$B$61,'2.1 Database'!$B78,'1.1 FY2016'!$F$5:$F$61)</f>
        <v>0</v>
      </c>
      <c r="G78" s="28">
        <f>-SUMIF('1.2 FY2017'!$B$5:$B$86,'2.1 Database'!$B78,'1.2 FY2017'!$F$5:$F$86)</f>
        <v>0</v>
      </c>
      <c r="H78" s="28">
        <f>-SUMIF('1.3 FY2018'!$B$5:$B$78,'2.1 Database'!$B78,'1.3 FY2018'!$F$5:$F$78)</f>
        <v>0</v>
      </c>
      <c r="J78" s="2">
        <v>0</v>
      </c>
    </row>
    <row r="79" spans="2:10" x14ac:dyDescent="0.25">
      <c r="B79" s="24" t="s">
        <v>191</v>
      </c>
      <c r="C79" s="6" t="str">
        <f>_xlfn.IFNA(INDEX('1.1 FY2016'!$B$5:$G$61,MATCH('2.1 Database'!$B79,'1.1 FY2016'!$B$5:$B$61,0),MATCH('2.1 Database'!C$3,'1.1 FY2016'!$B$4:$G$4,0)),_xlfn.IFNA(INDEX('1.2 FY2017'!$B$5:$G$86,MATCH('2.1 Database'!$B79,'1.2 FY2017'!$B$5:$B$86,0),MATCH('2.1 Database'!C$3,'1.2 FY2017'!$B$4:$G$4,0)),INDEX('1.3 FY2018'!$B$5:$G$78,MATCH('2.1 Database'!$B79,'1.3 FY2018'!$B$5:$B$78,0),MATCH('2.1 Database'!C$3,'1.3 FY2018'!$B$4:$G$4,0))))</f>
        <v>Travel expenses</v>
      </c>
      <c r="D79" s="6" t="str">
        <f>_xlfn.IFNA(INDEX('1.1 FY2016'!$B$5:$G$61,MATCH('2.1 Database'!$B79,'1.1 FY2016'!$B$5:$B$61,0),MATCH('2.1 Database'!D$3,'1.1 FY2016'!$B$4:$G$4,0)),_xlfn.IFNA(INDEX('1.2 FY2017'!$B$5:$G$86,MATCH('2.1 Database'!$B79,'1.2 FY2017'!$B$5:$B$86,0),MATCH('2.1 Database'!D$3,'1.2 FY2017'!$B$4:$G$4,0)),INDEX('1.3 FY2018'!$B$5:$G$78,MATCH('2.1 Database'!$B79,'1.3 FY2018'!$B$5:$B$78,0),MATCH('2.1 Database'!D$3,'1.3 FY2018'!$B$4:$G$4,0))))</f>
        <v>1118</v>
      </c>
      <c r="E79" s="6" t="str">
        <f>_xlfn.IFNA(INDEX('1.1 FY2016'!$B$5:$G$61,MATCH('2.1 Database'!$B79,'1.1 FY2016'!$B$5:$B$61,0),MATCH('2.1 Database'!E$3,'1.1 FY2016'!$B$4:$G$4,0)),_xlfn.IFNA(INDEX('1.2 FY2017'!$B$5:$G$86,MATCH('2.1 Database'!$B79,'1.2 FY2017'!$B$5:$B$86,0),MATCH('2.1 Database'!E$3,'1.2 FY2017'!$B$4:$G$4,0)),INDEX('1.3 FY2018'!$B$5:$G$78,MATCH('2.1 Database'!$B79,'1.3 FY2018'!$B$5:$B$78,0),MATCH('2.1 Database'!E$3,'1.3 FY2018'!$B$4:$G$4,0))))</f>
        <v>Gener Green LLC</v>
      </c>
      <c r="F79" s="28">
        <f>-SUMIF('1.1 FY2016'!$B$5:$B$61,'2.1 Database'!$B79,'1.1 FY2016'!$F$5:$F$61)</f>
        <v>0</v>
      </c>
      <c r="G79" s="28">
        <f>-SUMIF('1.2 FY2017'!$B$5:$B$86,'2.1 Database'!$B79,'1.2 FY2017'!$F$5:$F$86)</f>
        <v>-23928.799999999999</v>
      </c>
      <c r="H79" s="28">
        <f>-SUMIF('1.3 FY2018'!$B$5:$B$78,'2.1 Database'!$B79,'1.3 FY2018'!$F$5:$F$78)</f>
        <v>0</v>
      </c>
      <c r="J79" s="2" t="s">
        <v>226</v>
      </c>
    </row>
    <row r="80" spans="2:10" x14ac:dyDescent="0.25">
      <c r="B80" s="24" t="s">
        <v>192</v>
      </c>
      <c r="C80" s="6" t="str">
        <f>_xlfn.IFNA(INDEX('1.1 FY2016'!$B$5:$G$61,MATCH('2.1 Database'!$B80,'1.1 FY2016'!$B$5:$B$61,0),MATCH('2.1 Database'!C$3,'1.1 FY2016'!$B$4:$G$4,0)),_xlfn.IFNA(INDEX('1.2 FY2017'!$B$5:$G$86,MATCH('2.1 Database'!$B80,'1.2 FY2017'!$B$5:$B$86,0),MATCH('2.1 Database'!C$3,'1.2 FY2017'!$B$4:$G$4,0)),INDEX('1.3 FY2018'!$B$5:$G$78,MATCH('2.1 Database'!$B80,'1.3 FY2018'!$B$5:$B$78,0),MATCH('2.1 Database'!C$3,'1.3 FY2018'!$B$4:$G$4,0))))</f>
        <v>Losses fr disposal of PPE</v>
      </c>
      <c r="D80" s="6">
        <f>_xlfn.IFNA(INDEX('1.1 FY2016'!$B$5:$G$61,MATCH('2.1 Database'!$B80,'1.1 FY2016'!$B$5:$B$61,0),MATCH('2.1 Database'!D$3,'1.1 FY2016'!$B$4:$G$4,0)),_xlfn.IFNA(INDEX('1.2 FY2017'!$B$5:$G$86,MATCH('2.1 Database'!$B80,'1.2 FY2017'!$B$5:$B$86,0),MATCH('2.1 Database'!D$3,'1.2 FY2017'!$B$4:$G$4,0)),INDEX('1.3 FY2018'!$B$5:$G$78,MATCH('2.1 Database'!$B80,'1.3 FY2018'!$B$5:$B$78,0),MATCH('2.1 Database'!D$3,'1.3 FY2018'!$B$4:$G$4,0))))</f>
        <v>111111</v>
      </c>
      <c r="E80" s="6" t="str">
        <f>_xlfn.IFNA(INDEX('1.1 FY2016'!$B$5:$G$61,MATCH('2.1 Database'!$B80,'1.1 FY2016'!$B$5:$B$61,0),MATCH('2.1 Database'!E$3,'1.1 FY2016'!$B$4:$G$4,0)),_xlfn.IFNA(INDEX('1.2 FY2017'!$B$5:$G$86,MATCH('2.1 Database'!$B80,'1.2 FY2017'!$B$5:$B$86,0),MATCH('2.1 Database'!E$3,'1.2 FY2017'!$B$4:$G$4,0)),INDEX('1.3 FY2018'!$B$5:$G$78,MATCH('2.1 Database'!$B80,'1.3 FY2018'!$B$5:$B$78,0),MATCH('2.1 Database'!E$3,'1.3 FY2018'!$B$4:$G$4,0))))</f>
        <v>External</v>
      </c>
      <c r="F80" s="28">
        <f>-SUMIF('1.1 FY2016'!$B$5:$B$61,'2.1 Database'!$B80,'1.1 FY2016'!$F$5:$F$61)</f>
        <v>0</v>
      </c>
      <c r="G80" s="28">
        <f>-SUMIF('1.2 FY2017'!$B$5:$B$86,'2.1 Database'!$B80,'1.2 FY2017'!$F$5:$F$86)</f>
        <v>-308232</v>
      </c>
      <c r="H80" s="28">
        <f>-SUMIF('1.3 FY2018'!$B$5:$B$78,'2.1 Database'!$B80,'1.3 FY2018'!$F$5:$F$78)</f>
        <v>0</v>
      </c>
      <c r="J80" s="2" t="s">
        <v>233</v>
      </c>
    </row>
    <row r="81" spans="2:10" x14ac:dyDescent="0.25">
      <c r="B81" s="24" t="s">
        <v>193</v>
      </c>
      <c r="C81" s="6" t="str">
        <f>_xlfn.IFNA(INDEX('1.1 FY2016'!$B$5:$G$61,MATCH('2.1 Database'!$B81,'1.1 FY2016'!$B$5:$B$61,0),MATCH('2.1 Database'!C$3,'1.1 FY2016'!$B$4:$G$4,0)),_xlfn.IFNA(INDEX('1.2 FY2017'!$B$5:$G$86,MATCH('2.1 Database'!$B81,'1.2 FY2017'!$B$5:$B$86,0),MATCH('2.1 Database'!C$3,'1.2 FY2017'!$B$4:$G$4,0)),INDEX('1.3 FY2018'!$B$5:$G$78,MATCH('2.1 Database'!$B81,'1.3 FY2018'!$B$5:$B$78,0),MATCH('2.1 Database'!C$3,'1.3 FY2018'!$B$4:$G$4,0))))</f>
        <v>Other operative currency differences</v>
      </c>
      <c r="D81" s="6">
        <f>_xlfn.IFNA(INDEX('1.1 FY2016'!$B$5:$G$61,MATCH('2.1 Database'!$B81,'1.1 FY2016'!$B$5:$B$61,0),MATCH('2.1 Database'!D$3,'1.1 FY2016'!$B$4:$G$4,0)),_xlfn.IFNA(INDEX('1.2 FY2017'!$B$5:$G$86,MATCH('2.1 Database'!$B81,'1.2 FY2017'!$B$5:$B$86,0),MATCH('2.1 Database'!D$3,'1.2 FY2017'!$B$4:$G$4,0)),INDEX('1.3 FY2018'!$B$5:$G$78,MATCH('2.1 Database'!$B81,'1.3 FY2018'!$B$5:$B$78,0),MATCH('2.1 Database'!D$3,'1.3 FY2018'!$B$4:$G$4,0))))</f>
        <v>19</v>
      </c>
      <c r="E81" s="6" t="str">
        <f>_xlfn.IFNA(INDEX('1.1 FY2016'!$B$5:$G$61,MATCH('2.1 Database'!$B81,'1.1 FY2016'!$B$5:$B$61,0),MATCH('2.1 Database'!E$3,'1.1 FY2016'!$B$4:$G$4,0)),_xlfn.IFNA(INDEX('1.2 FY2017'!$B$5:$G$86,MATCH('2.1 Database'!$B81,'1.2 FY2017'!$B$5:$B$86,0),MATCH('2.1 Database'!E$3,'1.2 FY2017'!$B$4:$G$4,0)),INDEX('1.3 FY2018'!$B$5:$G$78,MATCH('2.1 Database'!$B81,'1.3 FY2018'!$B$5:$B$78,0),MATCH('2.1 Database'!E$3,'1.3 FY2018'!$B$4:$G$4,0))))</f>
        <v>Generco Cosmetics Ltd</v>
      </c>
      <c r="F81" s="28">
        <f>-SUMIF('1.1 FY2016'!$B$5:$B$61,'2.1 Database'!$B81,'1.1 FY2016'!$F$5:$F$61)</f>
        <v>0</v>
      </c>
      <c r="G81" s="28">
        <f>-SUMIF('1.2 FY2017'!$B$5:$B$86,'2.1 Database'!$B81,'1.2 FY2017'!$F$5:$F$86)</f>
        <v>-13422.779999999999</v>
      </c>
      <c r="H81" s="28">
        <f>-SUMIF('1.3 FY2018'!$B$5:$B$78,'2.1 Database'!$B81,'1.3 FY2018'!$F$5:$F$78)</f>
        <v>0</v>
      </c>
      <c r="J81" s="2" t="s">
        <v>226</v>
      </c>
    </row>
    <row r="82" spans="2:10" x14ac:dyDescent="0.25">
      <c r="B82" s="24" t="s">
        <v>194</v>
      </c>
      <c r="C82" s="6" t="str">
        <f>_xlfn.IFNA(INDEX('1.1 FY2016'!$B$5:$G$61,MATCH('2.1 Database'!$B82,'1.1 FY2016'!$B$5:$B$61,0),MATCH('2.1 Database'!C$3,'1.1 FY2016'!$B$4:$G$4,0)),_xlfn.IFNA(INDEX('1.2 FY2017'!$B$5:$G$86,MATCH('2.1 Database'!$B82,'1.2 FY2017'!$B$5:$B$86,0),MATCH('2.1 Database'!C$3,'1.2 FY2017'!$B$4:$G$4,0)),INDEX('1.3 FY2018'!$B$5:$G$78,MATCH('2.1 Database'!$B82,'1.3 FY2018'!$B$5:$B$78,0),MATCH('2.1 Database'!C$3,'1.3 FY2018'!$B$4:$G$4,0))))</f>
        <v>Other operative currency differences</v>
      </c>
      <c r="D82" s="6">
        <f>_xlfn.IFNA(INDEX('1.1 FY2016'!$B$5:$G$61,MATCH('2.1 Database'!$B82,'1.1 FY2016'!$B$5:$B$61,0),MATCH('2.1 Database'!D$3,'1.1 FY2016'!$B$4:$G$4,0)),_xlfn.IFNA(INDEX('1.2 FY2017'!$B$5:$G$86,MATCH('2.1 Database'!$B82,'1.2 FY2017'!$B$5:$B$86,0),MATCH('2.1 Database'!D$3,'1.2 FY2017'!$B$4:$G$4,0)),INDEX('1.3 FY2018'!$B$5:$G$78,MATCH('2.1 Database'!$B82,'1.3 FY2018'!$B$5:$B$78,0),MATCH('2.1 Database'!D$3,'1.3 FY2018'!$B$4:$G$4,0))))</f>
        <v>111111</v>
      </c>
      <c r="E82" s="6" t="str">
        <f>_xlfn.IFNA(INDEX('1.1 FY2016'!$B$5:$G$61,MATCH('2.1 Database'!$B82,'1.1 FY2016'!$B$5:$B$61,0),MATCH('2.1 Database'!E$3,'1.1 FY2016'!$B$4:$G$4,0)),_xlfn.IFNA(INDEX('1.2 FY2017'!$B$5:$G$86,MATCH('2.1 Database'!$B82,'1.2 FY2017'!$B$5:$B$86,0),MATCH('2.1 Database'!E$3,'1.2 FY2017'!$B$4:$G$4,0)),INDEX('1.3 FY2018'!$B$5:$G$78,MATCH('2.1 Database'!$B82,'1.3 FY2018'!$B$5:$B$78,0),MATCH('2.1 Database'!E$3,'1.3 FY2018'!$B$4:$G$4,0))))</f>
        <v>External</v>
      </c>
      <c r="F82" s="28">
        <f>-SUMIF('1.1 FY2016'!$B$5:$B$61,'2.1 Database'!$B82,'1.1 FY2016'!$F$5:$F$61)</f>
        <v>0</v>
      </c>
      <c r="G82" s="28">
        <f>-SUMIF('1.2 FY2017'!$B$5:$B$86,'2.1 Database'!$B82,'1.2 FY2017'!$F$5:$F$86)</f>
        <v>-4045.6150000000002</v>
      </c>
      <c r="H82" s="28">
        <f>-SUMIF('1.3 FY2018'!$B$5:$B$78,'2.1 Database'!$B82,'1.3 FY2018'!$F$5:$F$78)</f>
        <v>0</v>
      </c>
      <c r="J82" s="2" t="s">
        <v>226</v>
      </c>
    </row>
    <row r="83" spans="2:10" x14ac:dyDescent="0.25">
      <c r="B83" s="24" t="s">
        <v>195</v>
      </c>
      <c r="C83" s="6" t="str">
        <f>_xlfn.IFNA(INDEX('1.1 FY2016'!$B$5:$G$61,MATCH('2.1 Database'!$B83,'1.1 FY2016'!$B$5:$B$61,0),MATCH('2.1 Database'!C$3,'1.1 FY2016'!$B$4:$G$4,0)),_xlfn.IFNA(INDEX('1.2 FY2017'!$B$5:$G$86,MATCH('2.1 Database'!$B83,'1.2 FY2017'!$B$5:$B$86,0),MATCH('2.1 Database'!C$3,'1.2 FY2017'!$B$4:$G$4,0)),INDEX('1.3 FY2018'!$B$5:$G$78,MATCH('2.1 Database'!$B83,'1.3 FY2018'!$B$5:$B$78,0),MATCH('2.1 Database'!C$3,'1.3 FY2018'!$B$4:$G$4,0))))</f>
        <v>Property tax</v>
      </c>
      <c r="D83" s="6">
        <f>_xlfn.IFNA(INDEX('1.1 FY2016'!$B$5:$G$61,MATCH('2.1 Database'!$B83,'1.1 FY2016'!$B$5:$B$61,0),MATCH('2.1 Database'!D$3,'1.1 FY2016'!$B$4:$G$4,0)),_xlfn.IFNA(INDEX('1.2 FY2017'!$B$5:$G$86,MATCH('2.1 Database'!$B83,'1.2 FY2017'!$B$5:$B$86,0),MATCH('2.1 Database'!D$3,'1.2 FY2017'!$B$4:$G$4,0)),INDEX('1.3 FY2018'!$B$5:$G$78,MATCH('2.1 Database'!$B83,'1.3 FY2018'!$B$5:$B$78,0),MATCH('2.1 Database'!D$3,'1.3 FY2018'!$B$4:$G$4,0))))</f>
        <v>111111</v>
      </c>
      <c r="E83" s="6" t="str">
        <f>_xlfn.IFNA(INDEX('1.1 FY2016'!$B$5:$G$61,MATCH('2.1 Database'!$B83,'1.1 FY2016'!$B$5:$B$61,0),MATCH('2.1 Database'!E$3,'1.1 FY2016'!$B$4:$G$4,0)),_xlfn.IFNA(INDEX('1.2 FY2017'!$B$5:$G$86,MATCH('2.1 Database'!$B83,'1.2 FY2017'!$B$5:$B$86,0),MATCH('2.1 Database'!E$3,'1.2 FY2017'!$B$4:$G$4,0)),INDEX('1.3 FY2018'!$B$5:$G$78,MATCH('2.1 Database'!$B83,'1.3 FY2018'!$B$5:$B$78,0),MATCH('2.1 Database'!E$3,'1.3 FY2018'!$B$4:$G$4,0))))</f>
        <v>External</v>
      </c>
      <c r="F83" s="28">
        <f>-SUMIF('1.1 FY2016'!$B$5:$B$61,'2.1 Database'!$B83,'1.1 FY2016'!$F$5:$F$61)</f>
        <v>0</v>
      </c>
      <c r="G83" s="28">
        <f>-SUMIF('1.2 FY2017'!$B$5:$B$86,'2.1 Database'!$B83,'1.2 FY2017'!$F$5:$F$86)</f>
        <v>-49621.144999999997</v>
      </c>
      <c r="H83" s="28">
        <f>-SUMIF('1.3 FY2018'!$B$5:$B$78,'2.1 Database'!$B83,'1.3 FY2018'!$F$5:$F$78)</f>
        <v>0</v>
      </c>
      <c r="J83" s="2" t="s">
        <v>226</v>
      </c>
    </row>
    <row r="84" spans="2:10" x14ac:dyDescent="0.25">
      <c r="B84" s="24" t="s">
        <v>196</v>
      </c>
      <c r="C84" s="6" t="str">
        <f>_xlfn.IFNA(INDEX('1.1 FY2016'!$B$5:$G$61,MATCH('2.1 Database'!$B84,'1.1 FY2016'!$B$5:$B$61,0),MATCH('2.1 Database'!C$3,'1.1 FY2016'!$B$4:$G$4,0)),_xlfn.IFNA(INDEX('1.2 FY2017'!$B$5:$G$86,MATCH('2.1 Database'!$B84,'1.2 FY2017'!$B$5:$B$86,0),MATCH('2.1 Database'!C$3,'1.2 FY2017'!$B$4:$G$4,0)),INDEX('1.3 FY2018'!$B$5:$G$78,MATCH('2.1 Database'!$B84,'1.3 FY2018'!$B$5:$B$78,0),MATCH('2.1 Database'!C$3,'1.3 FY2018'!$B$4:$G$4,0))))</f>
        <v>Misc extraordinary expenses</v>
      </c>
      <c r="D84" s="6">
        <f>_xlfn.IFNA(INDEX('1.1 FY2016'!$B$5:$G$61,MATCH('2.1 Database'!$B84,'1.1 FY2016'!$B$5:$B$61,0),MATCH('2.1 Database'!D$3,'1.1 FY2016'!$B$4:$G$4,0)),_xlfn.IFNA(INDEX('1.2 FY2017'!$B$5:$G$86,MATCH('2.1 Database'!$B84,'1.2 FY2017'!$B$5:$B$86,0),MATCH('2.1 Database'!D$3,'1.2 FY2017'!$B$4:$G$4,0)),INDEX('1.3 FY2018'!$B$5:$G$78,MATCH('2.1 Database'!$B84,'1.3 FY2018'!$B$5:$B$78,0),MATCH('2.1 Database'!D$3,'1.3 FY2018'!$B$4:$G$4,0))))</f>
        <v>19</v>
      </c>
      <c r="E84" s="6" t="str">
        <f>_xlfn.IFNA(INDEX('1.1 FY2016'!$B$5:$G$61,MATCH('2.1 Database'!$B84,'1.1 FY2016'!$B$5:$B$61,0),MATCH('2.1 Database'!E$3,'1.1 FY2016'!$B$4:$G$4,0)),_xlfn.IFNA(INDEX('1.2 FY2017'!$B$5:$G$86,MATCH('2.1 Database'!$B84,'1.2 FY2017'!$B$5:$B$86,0),MATCH('2.1 Database'!E$3,'1.2 FY2017'!$B$4:$G$4,0)),INDEX('1.3 FY2018'!$B$5:$G$78,MATCH('2.1 Database'!$B84,'1.3 FY2018'!$B$5:$B$78,0),MATCH('2.1 Database'!E$3,'1.3 FY2018'!$B$4:$G$4,0))))</f>
        <v>Generco Cosmetics Ltd</v>
      </c>
      <c r="F84" s="28">
        <f>-SUMIF('1.1 FY2016'!$B$5:$B$61,'2.1 Database'!$B84,'1.1 FY2016'!$F$5:$F$61)</f>
        <v>0</v>
      </c>
      <c r="G84" s="28">
        <f>-SUMIF('1.2 FY2017'!$B$5:$B$86,'2.1 Database'!$B84,'1.2 FY2017'!$F$5:$F$86)</f>
        <v>-85462.684999999998</v>
      </c>
      <c r="H84" s="28">
        <f>-SUMIF('1.3 FY2018'!$B$5:$B$78,'2.1 Database'!$B84,'1.3 FY2018'!$F$5:$F$78)</f>
        <v>0</v>
      </c>
      <c r="J84" s="2" t="s">
        <v>233</v>
      </c>
    </row>
    <row r="85" spans="2:10" x14ac:dyDescent="0.25">
      <c r="B85" s="24" t="s">
        <v>197</v>
      </c>
      <c r="C85" s="6" t="str">
        <f>_xlfn.IFNA(INDEX('1.1 FY2016'!$B$5:$G$61,MATCH('2.1 Database'!$B85,'1.1 FY2016'!$B$5:$B$61,0),MATCH('2.1 Database'!C$3,'1.1 FY2016'!$B$4:$G$4,0)),_xlfn.IFNA(INDEX('1.2 FY2017'!$B$5:$G$86,MATCH('2.1 Database'!$B85,'1.2 FY2017'!$B$5:$B$86,0),MATCH('2.1 Database'!C$3,'1.2 FY2017'!$B$4:$G$4,0)),INDEX('1.3 FY2018'!$B$5:$G$78,MATCH('2.1 Database'!$B85,'1.3 FY2018'!$B$5:$B$78,0),MATCH('2.1 Database'!C$3,'1.3 FY2018'!$B$4:$G$4,0))))</f>
        <v>Misc extraordinary expenses</v>
      </c>
      <c r="D85" s="6" t="str">
        <f>_xlfn.IFNA(INDEX('1.1 FY2016'!$B$5:$G$61,MATCH('2.1 Database'!$B85,'1.1 FY2016'!$B$5:$B$61,0),MATCH('2.1 Database'!D$3,'1.1 FY2016'!$B$4:$G$4,0)),_xlfn.IFNA(INDEX('1.2 FY2017'!$B$5:$G$86,MATCH('2.1 Database'!$B85,'1.2 FY2017'!$B$5:$B$86,0),MATCH('2.1 Database'!D$3,'1.2 FY2017'!$B$4:$G$4,0)),INDEX('1.3 FY2018'!$B$5:$G$78,MATCH('2.1 Database'!$B85,'1.3 FY2018'!$B$5:$B$78,0),MATCH('2.1 Database'!D$3,'1.3 FY2018'!$B$4:$G$4,0))))</f>
        <v>43</v>
      </c>
      <c r="E85" s="6" t="str">
        <f>_xlfn.IFNA(INDEX('1.1 FY2016'!$B$5:$G$61,MATCH('2.1 Database'!$B85,'1.1 FY2016'!$B$5:$B$61,0),MATCH('2.1 Database'!E$3,'1.1 FY2016'!$B$4:$G$4,0)),_xlfn.IFNA(INDEX('1.2 FY2017'!$B$5:$G$86,MATCH('2.1 Database'!$B85,'1.2 FY2017'!$B$5:$B$86,0),MATCH('2.1 Database'!E$3,'1.2 FY2017'!$B$4:$G$4,0)),INDEX('1.3 FY2018'!$B$5:$G$78,MATCH('2.1 Database'!$B85,'1.3 FY2018'!$B$5:$B$78,0),MATCH('2.1 Database'!E$3,'1.3 FY2018'!$B$4:$G$4,0))))</f>
        <v>Greeny France SL</v>
      </c>
      <c r="F85" s="28">
        <f>-SUMIF('1.1 FY2016'!$B$5:$B$61,'2.1 Database'!$B85,'1.1 FY2016'!$F$5:$F$61)</f>
        <v>0</v>
      </c>
      <c r="G85" s="28">
        <f>-SUMIF('1.2 FY2017'!$B$5:$B$86,'2.1 Database'!$B85,'1.2 FY2017'!$F$5:$F$86)</f>
        <v>-11422.144999999999</v>
      </c>
      <c r="H85" s="28">
        <f>-SUMIF('1.3 FY2018'!$B$5:$B$78,'2.1 Database'!$B85,'1.3 FY2018'!$F$5:$F$78)</f>
        <v>0</v>
      </c>
      <c r="J85" s="2" t="s">
        <v>233</v>
      </c>
    </row>
    <row r="86" spans="2:10" x14ac:dyDescent="0.25">
      <c r="B86" s="24" t="s">
        <v>198</v>
      </c>
      <c r="C86" s="6" t="str">
        <f>_xlfn.IFNA(INDEX('1.1 FY2016'!$B$5:$G$61,MATCH('2.1 Database'!$B86,'1.1 FY2016'!$B$5:$B$61,0),MATCH('2.1 Database'!C$3,'1.1 FY2016'!$B$4:$G$4,0)),_xlfn.IFNA(INDEX('1.2 FY2017'!$B$5:$G$86,MATCH('2.1 Database'!$B86,'1.2 FY2017'!$B$5:$B$86,0),MATCH('2.1 Database'!C$3,'1.2 FY2017'!$B$4:$G$4,0)),INDEX('1.3 FY2018'!$B$5:$G$78,MATCH('2.1 Database'!$B86,'1.3 FY2018'!$B$5:$B$78,0),MATCH('2.1 Database'!C$3,'1.3 FY2018'!$B$4:$G$4,0))))</f>
        <v>Misc extraordinary expenses</v>
      </c>
      <c r="D86" s="6" t="str">
        <f>_xlfn.IFNA(INDEX('1.1 FY2016'!$B$5:$G$61,MATCH('2.1 Database'!$B86,'1.1 FY2016'!$B$5:$B$61,0),MATCH('2.1 Database'!D$3,'1.1 FY2016'!$B$4:$G$4,0)),_xlfn.IFNA(INDEX('1.2 FY2017'!$B$5:$G$86,MATCH('2.1 Database'!$B86,'1.2 FY2017'!$B$5:$B$86,0),MATCH('2.1 Database'!D$3,'1.2 FY2017'!$B$4:$G$4,0)),INDEX('1.3 FY2018'!$B$5:$G$78,MATCH('2.1 Database'!$B86,'1.3 FY2018'!$B$5:$B$78,0),MATCH('2.1 Database'!D$3,'1.3 FY2018'!$B$4:$G$4,0))))</f>
        <v>1924</v>
      </c>
      <c r="E86" s="6" t="str">
        <f>_xlfn.IFNA(INDEX('1.1 FY2016'!$B$5:$G$61,MATCH('2.1 Database'!$B86,'1.1 FY2016'!$B$5:$B$61,0),MATCH('2.1 Database'!E$3,'1.1 FY2016'!$B$4:$G$4,0)),_xlfn.IFNA(INDEX('1.2 FY2017'!$B$5:$G$86,MATCH('2.1 Database'!$B86,'1.2 FY2017'!$B$5:$B$86,0),MATCH('2.1 Database'!E$3,'1.2 FY2017'!$B$4:$G$4,0)),INDEX('1.3 FY2018'!$B$5:$G$78,MATCH('2.1 Database'!$B86,'1.3 FY2018'!$B$5:$B$78,0),MATCH('2.1 Database'!E$3,'1.3 FY2018'!$B$4:$G$4,0))))</f>
        <v>Generco Infrastructure Ltd</v>
      </c>
      <c r="F86" s="28">
        <f>-SUMIF('1.1 FY2016'!$B$5:$B$61,'2.1 Database'!$B86,'1.1 FY2016'!$F$5:$F$61)</f>
        <v>0</v>
      </c>
      <c r="G86" s="28">
        <f>-SUMIF('1.2 FY2017'!$B$5:$B$86,'2.1 Database'!$B86,'1.2 FY2017'!$F$5:$F$86)</f>
        <v>-84438.864999999991</v>
      </c>
      <c r="H86" s="28">
        <f>-SUMIF('1.3 FY2018'!$B$5:$B$78,'2.1 Database'!$B86,'1.3 FY2018'!$F$5:$F$78)</f>
        <v>0</v>
      </c>
      <c r="J86" s="2" t="s">
        <v>233</v>
      </c>
    </row>
    <row r="87" spans="2:10" x14ac:dyDescent="0.25">
      <c r="B87" s="24" t="s">
        <v>199</v>
      </c>
      <c r="C87" s="6" t="str">
        <f>_xlfn.IFNA(INDEX('1.1 FY2016'!$B$5:$G$61,MATCH('2.1 Database'!$B87,'1.1 FY2016'!$B$5:$B$61,0),MATCH('2.1 Database'!C$3,'1.1 FY2016'!$B$4:$G$4,0)),_xlfn.IFNA(INDEX('1.2 FY2017'!$B$5:$G$86,MATCH('2.1 Database'!$B87,'1.2 FY2017'!$B$5:$B$86,0),MATCH('2.1 Database'!C$3,'1.2 FY2017'!$B$4:$G$4,0)),INDEX('1.3 FY2018'!$B$5:$G$78,MATCH('2.1 Database'!$B87,'1.3 FY2018'!$B$5:$B$78,0),MATCH('2.1 Database'!C$3,'1.3 FY2018'!$B$4:$G$4,0))))</f>
        <v>Difference from eliminations</v>
      </c>
      <c r="D87" s="6" t="str">
        <f>_xlfn.IFNA(INDEX('1.1 FY2016'!$B$5:$G$61,MATCH('2.1 Database'!$B87,'1.1 FY2016'!$B$5:$B$61,0),MATCH('2.1 Database'!D$3,'1.1 FY2016'!$B$4:$G$4,0)),_xlfn.IFNA(INDEX('1.2 FY2017'!$B$5:$G$86,MATCH('2.1 Database'!$B87,'1.2 FY2017'!$B$5:$B$86,0),MATCH('2.1 Database'!D$3,'1.2 FY2017'!$B$4:$G$4,0)),INDEX('1.3 FY2018'!$B$5:$G$78,MATCH('2.1 Database'!$B87,'1.3 FY2018'!$B$5:$B$78,0),MATCH('2.1 Database'!D$3,'1.3 FY2018'!$B$4:$G$4,0))))</f>
        <v>1086</v>
      </c>
      <c r="E87" s="6" t="str">
        <f>_xlfn.IFNA(INDEX('1.1 FY2016'!$B$5:$G$61,MATCH('2.1 Database'!$B87,'1.1 FY2016'!$B$5:$B$61,0),MATCH('2.1 Database'!E$3,'1.1 FY2016'!$B$4:$G$4,0)),_xlfn.IFNA(INDEX('1.2 FY2017'!$B$5:$G$86,MATCH('2.1 Database'!$B87,'1.2 FY2017'!$B$5:$B$86,0),MATCH('2.1 Database'!E$3,'1.2 FY2017'!$B$4:$G$4,0)),INDEX('1.3 FY2018'!$B$5:$G$78,MATCH('2.1 Database'!$B87,'1.3 FY2018'!$B$5:$B$78,0),MATCH('2.1 Database'!E$3,'1.3 FY2018'!$B$4:$G$4,0))))</f>
        <v>G&amp;Resources Ltd</v>
      </c>
      <c r="F87" s="28">
        <f>-SUMIF('1.1 FY2016'!$B$5:$B$61,'2.1 Database'!$B87,'1.1 FY2016'!$F$5:$F$61)</f>
        <v>0</v>
      </c>
      <c r="G87" s="28">
        <f>-SUMIF('1.2 FY2017'!$B$5:$B$86,'2.1 Database'!$B87,'1.2 FY2017'!$F$5:$F$86)</f>
        <v>0</v>
      </c>
      <c r="H87" s="28">
        <f>-SUMIF('1.3 FY2018'!$B$5:$B$78,'2.1 Database'!$B87,'1.3 FY2018'!$F$5:$F$78)</f>
        <v>0</v>
      </c>
      <c r="J87" s="2">
        <v>0</v>
      </c>
    </row>
    <row r="88" spans="2:10" x14ac:dyDescent="0.25">
      <c r="B88" s="24" t="s">
        <v>200</v>
      </c>
      <c r="C88" s="6" t="str">
        <f>_xlfn.IFNA(INDEX('1.1 FY2016'!$B$5:$G$61,MATCH('2.1 Database'!$B88,'1.1 FY2016'!$B$5:$B$61,0),MATCH('2.1 Database'!C$3,'1.1 FY2016'!$B$4:$G$4,0)),_xlfn.IFNA(INDEX('1.2 FY2017'!$B$5:$G$86,MATCH('2.1 Database'!$B88,'1.2 FY2017'!$B$5:$B$86,0),MATCH('2.1 Database'!C$3,'1.2 FY2017'!$B$4:$G$4,0)),INDEX('1.3 FY2018'!$B$5:$G$78,MATCH('2.1 Database'!$B88,'1.3 FY2018'!$B$5:$B$78,0),MATCH('2.1 Database'!C$3,'1.3 FY2018'!$B$4:$G$4,0))))</f>
        <v>Interest income</v>
      </c>
      <c r="D88" s="6" t="str">
        <f>_xlfn.IFNA(INDEX('1.1 FY2016'!$B$5:$G$61,MATCH('2.1 Database'!$B88,'1.1 FY2016'!$B$5:$B$61,0),MATCH('2.1 Database'!D$3,'1.1 FY2016'!$B$4:$G$4,0)),_xlfn.IFNA(INDEX('1.2 FY2017'!$B$5:$G$86,MATCH('2.1 Database'!$B88,'1.2 FY2017'!$B$5:$B$86,0),MATCH('2.1 Database'!D$3,'1.2 FY2017'!$B$4:$G$4,0)),INDEX('1.3 FY2018'!$B$5:$G$78,MATCH('2.1 Database'!$B88,'1.3 FY2018'!$B$5:$B$78,0),MATCH('2.1 Database'!D$3,'1.3 FY2018'!$B$4:$G$4,0))))</f>
        <v>1086</v>
      </c>
      <c r="E88" s="6" t="str">
        <f>_xlfn.IFNA(INDEX('1.1 FY2016'!$B$5:$G$61,MATCH('2.1 Database'!$B88,'1.1 FY2016'!$B$5:$B$61,0),MATCH('2.1 Database'!E$3,'1.1 FY2016'!$B$4:$G$4,0)),_xlfn.IFNA(INDEX('1.2 FY2017'!$B$5:$G$86,MATCH('2.1 Database'!$B88,'1.2 FY2017'!$B$5:$B$86,0),MATCH('2.1 Database'!E$3,'1.2 FY2017'!$B$4:$G$4,0)),INDEX('1.3 FY2018'!$B$5:$G$78,MATCH('2.1 Database'!$B88,'1.3 FY2018'!$B$5:$B$78,0),MATCH('2.1 Database'!E$3,'1.3 FY2018'!$B$4:$G$4,0))))</f>
        <v>G&amp;Resources Ltd</v>
      </c>
      <c r="F88" s="28">
        <f>-SUMIF('1.1 FY2016'!$B$5:$B$61,'2.1 Database'!$B88,'1.1 FY2016'!$F$5:$F$61)</f>
        <v>0</v>
      </c>
      <c r="G88" s="28">
        <f>-SUMIF('1.2 FY2017'!$B$5:$B$86,'2.1 Database'!$B88,'1.2 FY2017'!$F$5:$F$86)</f>
        <v>0</v>
      </c>
      <c r="H88" s="28">
        <f>-SUMIF('1.3 FY2018'!$B$5:$B$78,'2.1 Database'!$B88,'1.3 FY2018'!$F$5:$F$78)</f>
        <v>0</v>
      </c>
      <c r="J88" s="2" t="s">
        <v>232</v>
      </c>
    </row>
    <row r="89" spans="2:10" x14ac:dyDescent="0.25">
      <c r="B89" s="24" t="s">
        <v>201</v>
      </c>
      <c r="C89" s="6" t="str">
        <f>_xlfn.IFNA(INDEX('1.1 FY2016'!$B$5:$G$61,MATCH('2.1 Database'!$B89,'1.1 FY2016'!$B$5:$B$61,0),MATCH('2.1 Database'!C$3,'1.1 FY2016'!$B$4:$G$4,0)),_xlfn.IFNA(INDEX('1.2 FY2017'!$B$5:$G$86,MATCH('2.1 Database'!$B89,'1.2 FY2017'!$B$5:$B$86,0),MATCH('2.1 Database'!C$3,'1.2 FY2017'!$B$4:$G$4,0)),INDEX('1.3 FY2018'!$B$5:$G$78,MATCH('2.1 Database'!$B89,'1.3 FY2018'!$B$5:$B$78,0),MATCH('2.1 Database'!C$3,'1.3 FY2018'!$B$4:$G$4,0))))</f>
        <v>Interest income</v>
      </c>
      <c r="D89" s="6">
        <f>_xlfn.IFNA(INDEX('1.1 FY2016'!$B$5:$G$61,MATCH('2.1 Database'!$B89,'1.1 FY2016'!$B$5:$B$61,0),MATCH('2.1 Database'!D$3,'1.1 FY2016'!$B$4:$G$4,0)),_xlfn.IFNA(INDEX('1.2 FY2017'!$B$5:$G$86,MATCH('2.1 Database'!$B89,'1.2 FY2017'!$B$5:$B$86,0),MATCH('2.1 Database'!D$3,'1.2 FY2017'!$B$4:$G$4,0)),INDEX('1.3 FY2018'!$B$5:$G$78,MATCH('2.1 Database'!$B89,'1.3 FY2018'!$B$5:$B$78,0),MATCH('2.1 Database'!D$3,'1.3 FY2018'!$B$4:$G$4,0))))</f>
        <v>1006</v>
      </c>
      <c r="E89" s="6" t="str">
        <f>_xlfn.IFNA(INDEX('1.1 FY2016'!$B$5:$G$61,MATCH('2.1 Database'!$B89,'1.1 FY2016'!$B$5:$B$61,0),MATCH('2.1 Database'!E$3,'1.1 FY2016'!$B$4:$G$4,0)),_xlfn.IFNA(INDEX('1.2 FY2017'!$B$5:$G$86,MATCH('2.1 Database'!$B89,'1.2 FY2017'!$B$5:$B$86,0),MATCH('2.1 Database'!E$3,'1.2 FY2017'!$B$4:$G$4,0)),INDEX('1.3 FY2018'!$B$5:$G$78,MATCH('2.1 Database'!$B89,'1.3 FY2018'!$B$5:$B$78,0),MATCH('2.1 Database'!E$3,'1.3 FY2018'!$B$4:$G$4,0))))</f>
        <v>Generco Mining GmbH</v>
      </c>
      <c r="F89" s="28">
        <f>-SUMIF('1.1 FY2016'!$B$5:$B$61,'2.1 Database'!$B89,'1.1 FY2016'!$F$5:$F$61)</f>
        <v>0</v>
      </c>
      <c r="G89" s="28">
        <f>-SUMIF('1.2 FY2017'!$B$5:$B$86,'2.1 Database'!$B89,'1.2 FY2017'!$F$5:$F$86)</f>
        <v>6778.415</v>
      </c>
      <c r="H89" s="28">
        <f>-SUMIF('1.3 FY2018'!$B$5:$B$78,'2.1 Database'!$B89,'1.3 FY2018'!$F$5:$F$78)</f>
        <v>0</v>
      </c>
      <c r="J89" s="2" t="s">
        <v>232</v>
      </c>
    </row>
    <row r="90" spans="2:10" x14ac:dyDescent="0.25">
      <c r="B90" s="24" t="s">
        <v>202</v>
      </c>
      <c r="C90" s="6" t="str">
        <f>_xlfn.IFNA(INDEX('1.1 FY2016'!$B$5:$G$61,MATCH('2.1 Database'!$B90,'1.1 FY2016'!$B$5:$B$61,0),MATCH('2.1 Database'!C$3,'1.1 FY2016'!$B$4:$G$4,0)),_xlfn.IFNA(INDEX('1.2 FY2017'!$B$5:$G$86,MATCH('2.1 Database'!$B90,'1.2 FY2017'!$B$5:$B$86,0),MATCH('2.1 Database'!C$3,'1.2 FY2017'!$B$4:$G$4,0)),INDEX('1.3 FY2018'!$B$5:$G$78,MATCH('2.1 Database'!$B90,'1.3 FY2018'!$B$5:$B$78,0),MATCH('2.1 Database'!C$3,'1.3 FY2018'!$B$4:$G$4,0))))</f>
        <v>Interest expenses</v>
      </c>
      <c r="D90" s="6">
        <f>_xlfn.IFNA(INDEX('1.1 FY2016'!$B$5:$G$61,MATCH('2.1 Database'!$B90,'1.1 FY2016'!$B$5:$B$61,0),MATCH('2.1 Database'!D$3,'1.1 FY2016'!$B$4:$G$4,0)),_xlfn.IFNA(INDEX('1.2 FY2017'!$B$5:$G$86,MATCH('2.1 Database'!$B90,'1.2 FY2017'!$B$5:$B$86,0),MATCH('2.1 Database'!D$3,'1.2 FY2017'!$B$4:$G$4,0)),INDEX('1.3 FY2018'!$B$5:$G$78,MATCH('2.1 Database'!$B90,'1.3 FY2018'!$B$5:$B$78,0),MATCH('2.1 Database'!D$3,'1.3 FY2018'!$B$4:$G$4,0))))</f>
        <v>1007</v>
      </c>
      <c r="E90" s="6" t="str">
        <f>_xlfn.IFNA(INDEX('1.1 FY2016'!$B$5:$G$61,MATCH('2.1 Database'!$B90,'1.1 FY2016'!$B$5:$B$61,0),MATCH('2.1 Database'!E$3,'1.1 FY2016'!$B$4:$G$4,0)),_xlfn.IFNA(INDEX('1.2 FY2017'!$B$5:$G$86,MATCH('2.1 Database'!$B90,'1.2 FY2017'!$B$5:$B$86,0),MATCH('2.1 Database'!E$3,'1.2 FY2017'!$B$4:$G$4,0)),INDEX('1.3 FY2018'!$B$5:$G$78,MATCH('2.1 Database'!$B90,'1.3 FY2018'!$B$5:$B$78,0),MATCH('2.1 Database'!E$3,'1.3 FY2018'!$B$4:$G$4,0))))</f>
        <v>Generco Semiconductors Ltd</v>
      </c>
      <c r="F90" s="28">
        <f>-SUMIF('1.1 FY2016'!$B$5:$B$61,'2.1 Database'!$B90,'1.1 FY2016'!$F$5:$F$61)</f>
        <v>0</v>
      </c>
      <c r="G90" s="28">
        <f>-SUMIF('1.2 FY2017'!$B$5:$B$86,'2.1 Database'!$B90,'1.2 FY2017'!$F$5:$F$86)</f>
        <v>0</v>
      </c>
      <c r="H90" s="28">
        <f>-SUMIF('1.3 FY2018'!$B$5:$B$78,'2.1 Database'!$B90,'1.3 FY2018'!$F$5:$F$78)</f>
        <v>0</v>
      </c>
      <c r="J90" s="2" t="s">
        <v>232</v>
      </c>
    </row>
    <row r="91" spans="2:10" x14ac:dyDescent="0.25">
      <c r="B91" s="24" t="s">
        <v>203</v>
      </c>
      <c r="C91" s="6" t="str">
        <f>_xlfn.IFNA(INDEX('1.1 FY2016'!$B$5:$G$61,MATCH('2.1 Database'!$B91,'1.1 FY2016'!$B$5:$B$61,0),MATCH('2.1 Database'!C$3,'1.1 FY2016'!$B$4:$G$4,0)),_xlfn.IFNA(INDEX('1.2 FY2017'!$B$5:$G$86,MATCH('2.1 Database'!$B91,'1.2 FY2017'!$B$5:$B$86,0),MATCH('2.1 Database'!C$3,'1.2 FY2017'!$B$4:$G$4,0)),INDEX('1.3 FY2018'!$B$5:$G$78,MATCH('2.1 Database'!$B91,'1.3 FY2018'!$B$5:$B$78,0),MATCH('2.1 Database'!C$3,'1.3 FY2018'!$B$4:$G$4,0))))</f>
        <v>Interest expenses</v>
      </c>
      <c r="D91" s="6">
        <f>_xlfn.IFNA(INDEX('1.1 FY2016'!$B$5:$G$61,MATCH('2.1 Database'!$B91,'1.1 FY2016'!$B$5:$B$61,0),MATCH('2.1 Database'!D$3,'1.1 FY2016'!$B$4:$G$4,0)),_xlfn.IFNA(INDEX('1.2 FY2017'!$B$5:$G$86,MATCH('2.1 Database'!$B91,'1.2 FY2017'!$B$5:$B$86,0),MATCH('2.1 Database'!D$3,'1.2 FY2017'!$B$4:$G$4,0)),INDEX('1.3 FY2018'!$B$5:$G$78,MATCH('2.1 Database'!$B91,'1.3 FY2018'!$B$5:$B$78,0),MATCH('2.1 Database'!D$3,'1.3 FY2018'!$B$4:$G$4,0))))</f>
        <v>111111</v>
      </c>
      <c r="E91" s="6" t="str">
        <f>_xlfn.IFNA(INDEX('1.1 FY2016'!$B$5:$G$61,MATCH('2.1 Database'!$B91,'1.1 FY2016'!$B$5:$B$61,0),MATCH('2.1 Database'!E$3,'1.1 FY2016'!$B$4:$G$4,0)),_xlfn.IFNA(INDEX('1.2 FY2017'!$B$5:$G$86,MATCH('2.1 Database'!$B91,'1.2 FY2017'!$B$5:$B$86,0),MATCH('2.1 Database'!E$3,'1.2 FY2017'!$B$4:$G$4,0)),INDEX('1.3 FY2018'!$B$5:$G$78,MATCH('2.1 Database'!$B91,'1.3 FY2018'!$B$5:$B$78,0),MATCH('2.1 Database'!E$3,'1.3 FY2018'!$B$4:$G$4,0))))</f>
        <v>External</v>
      </c>
      <c r="F91" s="28">
        <f>-SUMIF('1.1 FY2016'!$B$5:$B$61,'2.1 Database'!$B91,'1.1 FY2016'!$F$5:$F$61)</f>
        <v>0</v>
      </c>
      <c r="G91" s="28">
        <f>-SUMIF('1.2 FY2017'!$B$5:$B$86,'2.1 Database'!$B91,'1.2 FY2017'!$F$5:$F$86)</f>
        <v>-1250.7950000000001</v>
      </c>
      <c r="H91" s="28">
        <f>-SUMIF('1.3 FY2018'!$B$5:$B$78,'2.1 Database'!$B91,'1.3 FY2018'!$F$5:$F$78)</f>
        <v>-51.454999999999998</v>
      </c>
      <c r="J91" s="2" t="s">
        <v>232</v>
      </c>
    </row>
    <row r="92" spans="2:10" x14ac:dyDescent="0.25">
      <c r="B92" s="24" t="s">
        <v>204</v>
      </c>
      <c r="C92" s="6" t="str">
        <f>_xlfn.IFNA(INDEX('1.1 FY2016'!$B$5:$G$61,MATCH('2.1 Database'!$B92,'1.1 FY2016'!$B$5:$B$61,0),MATCH('2.1 Database'!C$3,'1.1 FY2016'!$B$4:$G$4,0)),_xlfn.IFNA(INDEX('1.2 FY2017'!$B$5:$G$86,MATCH('2.1 Database'!$B92,'1.2 FY2017'!$B$5:$B$86,0),MATCH('2.1 Database'!C$3,'1.2 FY2017'!$B$4:$G$4,0)),INDEX('1.3 FY2018'!$B$5:$G$78,MATCH('2.1 Database'!$B92,'1.3 FY2018'!$B$5:$B$78,0),MATCH('2.1 Database'!C$3,'1.3 FY2018'!$B$4:$G$4,0))))</f>
        <v>Impairment of participation</v>
      </c>
      <c r="D92" s="6">
        <f>_xlfn.IFNA(INDEX('1.1 FY2016'!$B$5:$G$61,MATCH('2.1 Database'!$B92,'1.1 FY2016'!$B$5:$B$61,0),MATCH('2.1 Database'!D$3,'1.1 FY2016'!$B$4:$G$4,0)),_xlfn.IFNA(INDEX('1.2 FY2017'!$B$5:$G$86,MATCH('2.1 Database'!$B92,'1.2 FY2017'!$B$5:$B$86,0),MATCH('2.1 Database'!D$3,'1.2 FY2017'!$B$4:$G$4,0)),INDEX('1.3 FY2018'!$B$5:$G$78,MATCH('2.1 Database'!$B92,'1.3 FY2018'!$B$5:$B$78,0),MATCH('2.1 Database'!D$3,'1.3 FY2018'!$B$4:$G$4,0))))</f>
        <v>1240</v>
      </c>
      <c r="E92" s="6" t="str">
        <f>_xlfn.IFNA(INDEX('1.1 FY2016'!$B$5:$G$61,MATCH('2.1 Database'!$B92,'1.1 FY2016'!$B$5:$B$61,0),MATCH('2.1 Database'!E$3,'1.1 FY2016'!$B$4:$G$4,0)),_xlfn.IFNA(INDEX('1.2 FY2017'!$B$5:$G$86,MATCH('2.1 Database'!$B92,'1.2 FY2017'!$B$5:$B$86,0),MATCH('2.1 Database'!E$3,'1.2 FY2017'!$B$4:$G$4,0)),INDEX('1.3 FY2018'!$B$5:$G$78,MATCH('2.1 Database'!$B92,'1.3 FY2018'!$B$5:$B$78,0),MATCH('2.1 Database'!E$3,'1.3 FY2018'!$B$4:$G$4,0))))</f>
        <v xml:space="preserve">Generco UK </v>
      </c>
      <c r="F92" s="28">
        <f>-SUMIF('1.1 FY2016'!$B$5:$B$61,'2.1 Database'!$B92,'1.1 FY2016'!$F$5:$F$61)</f>
        <v>0</v>
      </c>
      <c r="G92" s="28">
        <f>-SUMIF('1.2 FY2017'!$B$5:$B$86,'2.1 Database'!$B92,'1.2 FY2017'!$F$5:$F$86)</f>
        <v>-4130000</v>
      </c>
      <c r="H92" s="28">
        <f>-SUMIF('1.3 FY2018'!$B$5:$B$78,'2.1 Database'!$B92,'1.3 FY2018'!$F$5:$F$78)</f>
        <v>0</v>
      </c>
      <c r="J92" s="2" t="s">
        <v>233</v>
      </c>
    </row>
    <row r="93" spans="2:10" x14ac:dyDescent="0.25">
      <c r="B93" s="24" t="s">
        <v>205</v>
      </c>
      <c r="C93" s="6" t="str">
        <f>_xlfn.IFNA(INDEX('1.1 FY2016'!$B$5:$G$61,MATCH('2.1 Database'!$B93,'1.1 FY2016'!$B$5:$B$61,0),MATCH('2.1 Database'!C$3,'1.1 FY2016'!$B$4:$G$4,0)),_xlfn.IFNA(INDEX('1.2 FY2017'!$B$5:$G$86,MATCH('2.1 Database'!$B93,'1.2 FY2017'!$B$5:$B$86,0),MATCH('2.1 Database'!C$3,'1.2 FY2017'!$B$4:$G$4,0)),INDEX('1.3 FY2018'!$B$5:$G$78,MATCH('2.1 Database'!$B93,'1.3 FY2018'!$B$5:$B$78,0),MATCH('2.1 Database'!C$3,'1.3 FY2018'!$B$4:$G$4,0))))</f>
        <v>Quarterly changes in current taxes</v>
      </c>
      <c r="D93" s="6">
        <f>_xlfn.IFNA(INDEX('1.1 FY2016'!$B$5:$G$61,MATCH('2.1 Database'!$B93,'1.1 FY2016'!$B$5:$B$61,0),MATCH('2.1 Database'!D$3,'1.1 FY2016'!$B$4:$G$4,0)),_xlfn.IFNA(INDEX('1.2 FY2017'!$B$5:$G$86,MATCH('2.1 Database'!$B93,'1.2 FY2017'!$B$5:$B$86,0),MATCH('2.1 Database'!D$3,'1.2 FY2017'!$B$4:$G$4,0)),INDEX('1.3 FY2018'!$B$5:$G$78,MATCH('2.1 Database'!$B93,'1.3 FY2018'!$B$5:$B$78,0),MATCH('2.1 Database'!D$3,'1.3 FY2018'!$B$4:$G$4,0))))</f>
        <v>111101</v>
      </c>
      <c r="E93" s="6" t="str">
        <f>_xlfn.IFNA(INDEX('1.1 FY2016'!$B$5:$G$61,MATCH('2.1 Database'!$B93,'1.1 FY2016'!$B$5:$B$61,0),MATCH('2.1 Database'!E$3,'1.1 FY2016'!$B$4:$G$4,0)),_xlfn.IFNA(INDEX('1.2 FY2017'!$B$5:$G$86,MATCH('2.1 Database'!$B93,'1.2 FY2017'!$B$5:$B$86,0),MATCH('2.1 Database'!E$3,'1.2 FY2017'!$B$4:$G$4,0)),INDEX('1.3 FY2018'!$B$5:$G$78,MATCH('2.1 Database'!$B93,'1.3 FY2018'!$B$5:$B$78,0),MATCH('2.1 Database'!E$3,'1.3 FY2018'!$B$4:$G$4,0))))</f>
        <v>Not assigned</v>
      </c>
      <c r="F93" s="28">
        <f>-SUMIF('1.1 FY2016'!$B$5:$B$61,'2.1 Database'!$B93,'1.1 FY2016'!$F$5:$F$61)</f>
        <v>0</v>
      </c>
      <c r="G93" s="28">
        <f>-SUMIF('1.2 FY2017'!$B$5:$B$86,'2.1 Database'!$B93,'1.2 FY2017'!$F$5:$F$86)</f>
        <v>0</v>
      </c>
      <c r="H93" s="28">
        <f>-SUMIF('1.3 FY2018'!$B$5:$B$78,'2.1 Database'!$B93,'1.3 FY2018'!$F$5:$F$78)</f>
        <v>0</v>
      </c>
      <c r="J93" s="2">
        <v>0</v>
      </c>
    </row>
    <row r="94" spans="2:10" x14ac:dyDescent="0.25">
      <c r="B94" s="24" t="s">
        <v>206</v>
      </c>
      <c r="C94" s="6" t="str">
        <f>_xlfn.IFNA(INDEX('1.1 FY2016'!$B$5:$G$61,MATCH('2.1 Database'!$B94,'1.1 FY2016'!$B$5:$B$61,0),MATCH('2.1 Database'!C$3,'1.1 FY2016'!$B$4:$G$4,0)),_xlfn.IFNA(INDEX('1.2 FY2017'!$B$5:$G$86,MATCH('2.1 Database'!$B94,'1.2 FY2017'!$B$5:$B$86,0),MATCH('2.1 Database'!C$3,'1.2 FY2017'!$B$4:$G$4,0)),INDEX('1.3 FY2018'!$B$5:$G$78,MATCH('2.1 Database'!$B94,'1.3 FY2018'!$B$5:$B$78,0),MATCH('2.1 Database'!C$3,'1.3 FY2018'!$B$4:$G$4,0))))</f>
        <v>Net income/(loss)</v>
      </c>
      <c r="D94" s="6">
        <f>_xlfn.IFNA(INDEX('1.1 FY2016'!$B$5:$G$61,MATCH('2.1 Database'!$B94,'1.1 FY2016'!$B$5:$B$61,0),MATCH('2.1 Database'!D$3,'1.1 FY2016'!$B$4:$G$4,0)),_xlfn.IFNA(INDEX('1.2 FY2017'!$B$5:$G$86,MATCH('2.1 Database'!$B94,'1.2 FY2017'!$B$5:$B$86,0),MATCH('2.1 Database'!D$3,'1.2 FY2017'!$B$4:$G$4,0)),INDEX('1.3 FY2018'!$B$5:$G$78,MATCH('2.1 Database'!$B94,'1.3 FY2018'!$B$5:$B$78,0),MATCH('2.1 Database'!D$3,'1.3 FY2018'!$B$4:$G$4,0))))</f>
        <v>111101</v>
      </c>
      <c r="E94" s="6" t="str">
        <f>_xlfn.IFNA(INDEX('1.1 FY2016'!$B$5:$G$61,MATCH('2.1 Database'!$B94,'1.1 FY2016'!$B$5:$B$61,0),MATCH('2.1 Database'!E$3,'1.1 FY2016'!$B$4:$G$4,0)),_xlfn.IFNA(INDEX('1.2 FY2017'!$B$5:$G$86,MATCH('2.1 Database'!$B94,'1.2 FY2017'!$B$5:$B$86,0),MATCH('2.1 Database'!E$3,'1.2 FY2017'!$B$4:$G$4,0)),INDEX('1.3 FY2018'!$B$5:$G$78,MATCH('2.1 Database'!$B94,'1.3 FY2018'!$B$5:$B$78,0),MATCH('2.1 Database'!E$3,'1.3 FY2018'!$B$4:$G$4,0))))</f>
        <v>Not assigned</v>
      </c>
      <c r="F94" s="28">
        <f>-SUMIF('1.1 FY2016'!$B$5:$B$61,'2.1 Database'!$B94,'1.1 FY2016'!$F$5:$F$61)</f>
        <v>0</v>
      </c>
      <c r="G94" s="28">
        <f>-SUMIF('1.2 FY2017'!$B$5:$B$86,'2.1 Database'!$B94,'1.2 FY2017'!$F$5:$F$86)</f>
        <v>-6073808.1600000001</v>
      </c>
      <c r="H94" s="28">
        <f>-SUMIF('1.3 FY2018'!$B$5:$B$78,'2.1 Database'!$B94,'1.3 FY2018'!$F$5:$F$78)</f>
        <v>779290.47600000002</v>
      </c>
      <c r="J94" s="2" t="s">
        <v>235</v>
      </c>
    </row>
    <row r="95" spans="2:10" x14ac:dyDescent="0.25">
      <c r="B95" s="24" t="s">
        <v>207</v>
      </c>
      <c r="C95" s="6" t="str">
        <f>_xlfn.IFNA(INDEX('1.1 FY2016'!$B$5:$G$61,MATCH('2.1 Database'!$B95,'1.1 FY2016'!$B$5:$B$61,0),MATCH('2.1 Database'!C$3,'1.1 FY2016'!$B$4:$G$4,0)),_xlfn.IFNA(INDEX('1.2 FY2017'!$B$5:$G$86,MATCH('2.1 Database'!$B95,'1.2 FY2017'!$B$5:$B$86,0),MATCH('2.1 Database'!C$3,'1.2 FY2017'!$B$4:$G$4,0)),INDEX('1.3 FY2018'!$B$5:$G$78,MATCH('2.1 Database'!$B95,'1.3 FY2018'!$B$5:$B$78,0),MATCH('2.1 Database'!C$3,'1.3 FY2018'!$B$4:$G$4,0))))</f>
        <v>Operating expenses for utilities</v>
      </c>
      <c r="D95" s="6">
        <f>_xlfn.IFNA(INDEX('1.1 FY2016'!$B$5:$G$61,MATCH('2.1 Database'!$B95,'1.1 FY2016'!$B$5:$B$61,0),MATCH('2.1 Database'!D$3,'1.1 FY2016'!$B$4:$G$4,0)),_xlfn.IFNA(INDEX('1.2 FY2017'!$B$5:$G$86,MATCH('2.1 Database'!$B95,'1.2 FY2017'!$B$5:$B$86,0),MATCH('2.1 Database'!D$3,'1.2 FY2017'!$B$4:$G$4,0)),INDEX('1.3 FY2018'!$B$5:$G$78,MATCH('2.1 Database'!$B95,'1.3 FY2018'!$B$5:$B$78,0),MATCH('2.1 Database'!D$3,'1.3 FY2018'!$B$4:$G$4,0))))</f>
        <v>111111</v>
      </c>
      <c r="E95" s="6" t="str">
        <f>_xlfn.IFNA(INDEX('1.1 FY2016'!$B$5:$G$61,MATCH('2.1 Database'!$B95,'1.1 FY2016'!$B$5:$B$61,0),MATCH('2.1 Database'!E$3,'1.1 FY2016'!$B$4:$G$4,0)),_xlfn.IFNA(INDEX('1.2 FY2017'!$B$5:$G$86,MATCH('2.1 Database'!$B95,'1.2 FY2017'!$B$5:$B$86,0),MATCH('2.1 Database'!E$3,'1.2 FY2017'!$B$4:$G$4,0)),INDEX('1.3 FY2018'!$B$5:$G$78,MATCH('2.1 Database'!$B95,'1.3 FY2018'!$B$5:$B$78,0),MATCH('2.1 Database'!E$3,'1.3 FY2018'!$B$4:$G$4,0))))</f>
        <v>External</v>
      </c>
      <c r="F95" s="28">
        <f>-SUMIF('1.1 FY2016'!$B$5:$B$61,'2.1 Database'!$B95,'1.1 FY2016'!$F$5:$F$61)</f>
        <v>0</v>
      </c>
      <c r="G95" s="28">
        <f>-SUMIF('1.2 FY2017'!$B$5:$B$86,'2.1 Database'!$B95,'1.2 FY2017'!$F$5:$F$86)</f>
        <v>0</v>
      </c>
      <c r="H95" s="28">
        <f>-SUMIF('1.3 FY2018'!$B$5:$B$78,'2.1 Database'!$B95,'1.3 FY2018'!$F$5:$F$78)</f>
        <v>-13691.949999999999</v>
      </c>
      <c r="J95" s="2" t="s">
        <v>226</v>
      </c>
    </row>
    <row r="96" spans="2:10" x14ac:dyDescent="0.25">
      <c r="B96" s="24" t="s">
        <v>208</v>
      </c>
      <c r="C96" s="6" t="str">
        <f>_xlfn.IFNA(INDEX('1.1 FY2016'!$B$5:$G$61,MATCH('2.1 Database'!$B96,'1.1 FY2016'!$B$5:$B$61,0),MATCH('2.1 Database'!C$3,'1.1 FY2016'!$B$4:$G$4,0)),_xlfn.IFNA(INDEX('1.2 FY2017'!$B$5:$G$86,MATCH('2.1 Database'!$B96,'1.2 FY2017'!$B$5:$B$86,0),MATCH('2.1 Database'!C$3,'1.2 FY2017'!$B$4:$G$4,0)),INDEX('1.3 FY2018'!$B$5:$G$78,MATCH('2.1 Database'!$B96,'1.3 FY2018'!$B$5:$B$78,0),MATCH('2.1 Database'!C$3,'1.3 FY2018'!$B$4:$G$4,0))))</f>
        <v>R&amp;D expenses</v>
      </c>
      <c r="D96" s="6" t="str">
        <f>_xlfn.IFNA(INDEX('1.1 FY2016'!$B$5:$G$61,MATCH('2.1 Database'!$B96,'1.1 FY2016'!$B$5:$B$61,0),MATCH('2.1 Database'!D$3,'1.1 FY2016'!$B$4:$G$4,0)),_xlfn.IFNA(INDEX('1.2 FY2017'!$B$5:$G$86,MATCH('2.1 Database'!$B96,'1.2 FY2017'!$B$5:$B$86,0),MATCH('2.1 Database'!D$3,'1.2 FY2017'!$B$4:$G$4,0)),INDEX('1.3 FY2018'!$B$5:$G$78,MATCH('2.1 Database'!$B96,'1.3 FY2018'!$B$5:$B$78,0),MATCH('2.1 Database'!D$3,'1.3 FY2018'!$B$4:$G$4,0))))</f>
        <v>2185</v>
      </c>
      <c r="E96" s="6" t="str">
        <f>_xlfn.IFNA(INDEX('1.1 FY2016'!$B$5:$G$61,MATCH('2.1 Database'!$B96,'1.1 FY2016'!$B$5:$B$61,0),MATCH('2.1 Database'!E$3,'1.1 FY2016'!$B$4:$G$4,0)),_xlfn.IFNA(INDEX('1.2 FY2017'!$B$5:$G$86,MATCH('2.1 Database'!$B96,'1.2 FY2017'!$B$5:$B$86,0),MATCH('2.1 Database'!E$3,'1.2 FY2017'!$B$4:$G$4,0)),INDEX('1.3 FY2018'!$B$5:$G$78,MATCH('2.1 Database'!$B96,'1.3 FY2018'!$B$5:$B$78,0),MATCH('2.1 Database'!E$3,'1.3 FY2018'!$B$4:$G$4,0))))</f>
        <v>Generco Green Projects GmbH</v>
      </c>
      <c r="F96" s="28">
        <f>-SUMIF('1.1 FY2016'!$B$5:$B$61,'2.1 Database'!$B96,'1.1 FY2016'!$F$5:$F$61)</f>
        <v>0</v>
      </c>
      <c r="G96" s="28">
        <f>-SUMIF('1.2 FY2017'!$B$5:$B$86,'2.1 Database'!$B96,'1.2 FY2017'!$F$5:$F$86)</f>
        <v>0</v>
      </c>
      <c r="H96" s="28">
        <f>-SUMIF('1.3 FY2018'!$B$5:$B$78,'2.1 Database'!$B96,'1.3 FY2018'!$F$5:$F$78)</f>
        <v>-192017.14499999996</v>
      </c>
      <c r="J96" s="2" t="s">
        <v>226</v>
      </c>
    </row>
    <row r="97" spans="2:10" x14ac:dyDescent="0.25">
      <c r="B97" s="24" t="s">
        <v>209</v>
      </c>
      <c r="C97" s="6" t="str">
        <f>_xlfn.IFNA(INDEX('1.1 FY2016'!$B$5:$G$61,MATCH('2.1 Database'!$B97,'1.1 FY2016'!$B$5:$B$61,0),MATCH('2.1 Database'!C$3,'1.1 FY2016'!$B$4:$G$4,0)),_xlfn.IFNA(INDEX('1.2 FY2017'!$B$5:$G$86,MATCH('2.1 Database'!$B97,'1.2 FY2017'!$B$5:$B$86,0),MATCH('2.1 Database'!C$3,'1.2 FY2017'!$B$4:$G$4,0)),INDEX('1.3 FY2018'!$B$5:$G$78,MATCH('2.1 Database'!$B97,'1.3 FY2018'!$B$5:$B$78,0),MATCH('2.1 Database'!C$3,'1.3 FY2018'!$B$4:$G$4,0))))</f>
        <v>R&amp;D expenses</v>
      </c>
      <c r="D97" s="6" t="str">
        <f>_xlfn.IFNA(INDEX('1.1 FY2016'!$B$5:$G$61,MATCH('2.1 Database'!$B97,'1.1 FY2016'!$B$5:$B$61,0),MATCH('2.1 Database'!D$3,'1.1 FY2016'!$B$4:$G$4,0)),_xlfn.IFNA(INDEX('1.2 FY2017'!$B$5:$G$86,MATCH('2.1 Database'!$B97,'1.2 FY2017'!$B$5:$B$86,0),MATCH('2.1 Database'!D$3,'1.2 FY2017'!$B$4:$G$4,0)),INDEX('1.3 FY2018'!$B$5:$G$78,MATCH('2.1 Database'!$B97,'1.3 FY2018'!$B$5:$B$78,0),MATCH('2.1 Database'!D$3,'1.3 FY2018'!$B$4:$G$4,0))))</f>
        <v>2240</v>
      </c>
      <c r="E97" s="6" t="str">
        <f>_xlfn.IFNA(INDEX('1.1 FY2016'!$B$5:$G$61,MATCH('2.1 Database'!$B97,'1.1 FY2016'!$B$5:$B$61,0),MATCH('2.1 Database'!E$3,'1.1 FY2016'!$B$4:$G$4,0)),_xlfn.IFNA(INDEX('1.2 FY2017'!$B$5:$G$86,MATCH('2.1 Database'!$B97,'1.2 FY2017'!$B$5:$B$86,0),MATCH('2.1 Database'!E$3,'1.2 FY2017'!$B$4:$G$4,0)),INDEX('1.3 FY2018'!$B$5:$G$78,MATCH('2.1 Database'!$B97,'1.3 FY2018'!$B$5:$B$78,0),MATCH('2.1 Database'!E$3,'1.3 FY2018'!$B$4:$G$4,0))))</f>
        <v>Greeny Germany GmbH</v>
      </c>
      <c r="F97" s="28">
        <f>-SUMIF('1.1 FY2016'!$B$5:$B$61,'2.1 Database'!$B97,'1.1 FY2016'!$F$5:$F$61)</f>
        <v>0</v>
      </c>
      <c r="G97" s="28">
        <f>-SUMIF('1.2 FY2017'!$B$5:$B$86,'2.1 Database'!$B97,'1.2 FY2017'!$F$5:$F$86)</f>
        <v>0</v>
      </c>
      <c r="H97" s="28">
        <f>-SUMIF('1.3 FY2018'!$B$5:$B$78,'2.1 Database'!$B97,'1.3 FY2018'!$F$5:$F$78)</f>
        <v>-375290.46599999996</v>
      </c>
      <c r="J97" s="2" t="s">
        <v>226</v>
      </c>
    </row>
    <row r="98" spans="2:10" x14ac:dyDescent="0.25">
      <c r="B98" s="24" t="s">
        <v>210</v>
      </c>
      <c r="C98" s="6" t="str">
        <f>_xlfn.IFNA(INDEX('1.1 FY2016'!$B$5:$G$61,MATCH('2.1 Database'!$B98,'1.1 FY2016'!$B$5:$B$61,0),MATCH('2.1 Database'!C$3,'1.1 FY2016'!$B$4:$G$4,0)),_xlfn.IFNA(INDEX('1.2 FY2017'!$B$5:$G$86,MATCH('2.1 Database'!$B98,'1.2 FY2017'!$B$5:$B$86,0),MATCH('2.1 Database'!C$3,'1.2 FY2017'!$B$4:$G$4,0)),INDEX('1.3 FY2018'!$B$5:$G$78,MATCH('2.1 Database'!$B98,'1.3 FY2018'!$B$5:$B$78,0),MATCH('2.1 Database'!C$3,'1.3 FY2018'!$B$4:$G$4,0))))</f>
        <v>R&amp;D expenses</v>
      </c>
      <c r="D98" s="6">
        <f>_xlfn.IFNA(INDEX('1.1 FY2016'!$B$5:$G$61,MATCH('2.1 Database'!$B98,'1.1 FY2016'!$B$5:$B$61,0),MATCH('2.1 Database'!D$3,'1.1 FY2016'!$B$4:$G$4,0)),_xlfn.IFNA(INDEX('1.2 FY2017'!$B$5:$G$86,MATCH('2.1 Database'!$B98,'1.2 FY2017'!$B$5:$B$86,0),MATCH('2.1 Database'!D$3,'1.2 FY2017'!$B$4:$G$4,0)),INDEX('1.3 FY2018'!$B$5:$G$78,MATCH('2.1 Database'!$B98,'1.3 FY2018'!$B$5:$B$78,0),MATCH('2.1 Database'!D$3,'1.3 FY2018'!$B$4:$G$4,0))))</f>
        <v>17000</v>
      </c>
      <c r="E98" s="6" t="str">
        <f>_xlfn.IFNA(INDEX('1.1 FY2016'!$B$5:$G$61,MATCH('2.1 Database'!$B98,'1.1 FY2016'!$B$5:$B$61,0),MATCH('2.1 Database'!E$3,'1.1 FY2016'!$B$4:$G$4,0)),_xlfn.IFNA(INDEX('1.2 FY2017'!$B$5:$G$86,MATCH('2.1 Database'!$B98,'1.2 FY2017'!$B$5:$B$86,0),MATCH('2.1 Database'!E$3,'1.2 FY2017'!$B$4:$G$4,0)),INDEX('1.3 FY2018'!$B$5:$G$78,MATCH('2.1 Database'!$B98,'1.3 FY2018'!$B$5:$B$78,0),MATCH('2.1 Database'!E$3,'1.3 FY2018'!$B$4:$G$4,0))))</f>
        <v>Generco Risk Management Ltd</v>
      </c>
      <c r="F98" s="28">
        <f>-SUMIF('1.1 FY2016'!$B$5:$B$61,'2.1 Database'!$B98,'1.1 FY2016'!$F$5:$F$61)</f>
        <v>0</v>
      </c>
      <c r="G98" s="28">
        <f>-SUMIF('1.2 FY2017'!$B$5:$B$86,'2.1 Database'!$B98,'1.2 FY2017'!$F$5:$F$86)</f>
        <v>0</v>
      </c>
      <c r="H98" s="28">
        <f>-SUMIF('1.3 FY2018'!$B$5:$B$78,'2.1 Database'!$B98,'1.3 FY2018'!$F$5:$F$78)</f>
        <v>-4920</v>
      </c>
      <c r="J98" s="2" t="s">
        <v>226</v>
      </c>
    </row>
    <row r="99" spans="2:10" x14ac:dyDescent="0.25">
      <c r="B99" s="24" t="s">
        <v>211</v>
      </c>
      <c r="C99" s="6" t="str">
        <f>_xlfn.IFNA(INDEX('1.1 FY2016'!$B$5:$G$61,MATCH('2.1 Database'!$B99,'1.1 FY2016'!$B$5:$B$61,0),MATCH('2.1 Database'!C$3,'1.1 FY2016'!$B$4:$G$4,0)),_xlfn.IFNA(INDEX('1.2 FY2017'!$B$5:$G$86,MATCH('2.1 Database'!$B99,'1.2 FY2017'!$B$5:$B$86,0),MATCH('2.1 Database'!C$3,'1.2 FY2017'!$B$4:$G$4,0)),INDEX('1.3 FY2018'!$B$5:$G$78,MATCH('2.1 Database'!$B99,'1.3 FY2018'!$B$5:$B$78,0),MATCH('2.1 Database'!C$3,'1.3 FY2018'!$B$4:$G$4,0))))</f>
        <v>Other operative currency differences</v>
      </c>
      <c r="D99" s="6" t="str">
        <f>_xlfn.IFNA(INDEX('1.1 FY2016'!$B$5:$G$61,MATCH('2.1 Database'!$B99,'1.1 FY2016'!$B$5:$B$61,0),MATCH('2.1 Database'!D$3,'1.1 FY2016'!$B$4:$G$4,0)),_xlfn.IFNA(INDEX('1.2 FY2017'!$B$5:$G$86,MATCH('2.1 Database'!$B99,'1.2 FY2017'!$B$5:$B$86,0),MATCH('2.1 Database'!D$3,'1.2 FY2017'!$B$4:$G$4,0)),INDEX('1.3 FY2018'!$B$5:$G$78,MATCH('2.1 Database'!$B99,'1.3 FY2018'!$B$5:$B$78,0),MATCH('2.1 Database'!D$3,'1.3 FY2018'!$B$4:$G$4,0))))</f>
        <v>1118</v>
      </c>
      <c r="E99" s="6" t="str">
        <f>_xlfn.IFNA(INDEX('1.1 FY2016'!$B$5:$G$61,MATCH('2.1 Database'!$B99,'1.1 FY2016'!$B$5:$B$61,0),MATCH('2.1 Database'!E$3,'1.1 FY2016'!$B$4:$G$4,0)),_xlfn.IFNA(INDEX('1.2 FY2017'!$B$5:$G$86,MATCH('2.1 Database'!$B99,'1.2 FY2017'!$B$5:$B$86,0),MATCH('2.1 Database'!E$3,'1.2 FY2017'!$B$4:$G$4,0)),INDEX('1.3 FY2018'!$B$5:$G$78,MATCH('2.1 Database'!$B99,'1.3 FY2018'!$B$5:$B$78,0),MATCH('2.1 Database'!E$3,'1.3 FY2018'!$B$4:$G$4,0))))</f>
        <v>Gener Green LLC</v>
      </c>
      <c r="F99" s="28">
        <f>-SUMIF('1.1 FY2016'!$B$5:$B$61,'2.1 Database'!$B99,'1.1 FY2016'!$F$5:$F$61)</f>
        <v>0</v>
      </c>
      <c r="G99" s="28">
        <f>-SUMIF('1.2 FY2017'!$B$5:$B$86,'2.1 Database'!$B99,'1.2 FY2017'!$F$5:$F$86)</f>
        <v>0</v>
      </c>
      <c r="H99" s="28">
        <f>-SUMIF('1.3 FY2018'!$B$5:$B$78,'2.1 Database'!$B99,'1.3 FY2018'!$F$5:$F$78)</f>
        <v>0</v>
      </c>
      <c r="J99" s="2" t="s">
        <v>226</v>
      </c>
    </row>
    <row r="100" spans="2:10" x14ac:dyDescent="0.25">
      <c r="B100" s="24" t="s">
        <v>212</v>
      </c>
      <c r="C100" s="6" t="str">
        <f>_xlfn.IFNA(INDEX('1.1 FY2016'!$B$5:$G$61,MATCH('2.1 Database'!$B100,'1.1 FY2016'!$B$5:$B$61,0),MATCH('2.1 Database'!C$3,'1.1 FY2016'!$B$4:$G$4,0)),_xlfn.IFNA(INDEX('1.2 FY2017'!$B$5:$G$86,MATCH('2.1 Database'!$B100,'1.2 FY2017'!$B$5:$B$86,0),MATCH('2.1 Database'!C$3,'1.2 FY2017'!$B$4:$G$4,0)),INDEX('1.3 FY2018'!$B$5:$G$78,MATCH('2.1 Database'!$B100,'1.3 FY2018'!$B$5:$B$78,0),MATCH('2.1 Database'!C$3,'1.3 FY2018'!$B$4:$G$4,0))))</f>
        <v>Other operative currency differences</v>
      </c>
      <c r="D100" s="6">
        <f>_xlfn.IFNA(INDEX('1.1 FY2016'!$B$5:$G$61,MATCH('2.1 Database'!$B100,'1.1 FY2016'!$B$5:$B$61,0),MATCH('2.1 Database'!D$3,'1.1 FY2016'!$B$4:$G$4,0)),_xlfn.IFNA(INDEX('1.2 FY2017'!$B$5:$G$86,MATCH('2.1 Database'!$B100,'1.2 FY2017'!$B$5:$B$86,0),MATCH('2.1 Database'!D$3,'1.2 FY2017'!$B$4:$G$4,0)),INDEX('1.3 FY2018'!$B$5:$G$78,MATCH('2.1 Database'!$B100,'1.3 FY2018'!$B$5:$B$78,0),MATCH('2.1 Database'!D$3,'1.3 FY2018'!$B$4:$G$4,0))))</f>
        <v>111111</v>
      </c>
      <c r="E100" s="6" t="str">
        <f>_xlfn.IFNA(INDEX('1.1 FY2016'!$B$5:$G$61,MATCH('2.1 Database'!$B100,'1.1 FY2016'!$B$5:$B$61,0),MATCH('2.1 Database'!E$3,'1.1 FY2016'!$B$4:$G$4,0)),_xlfn.IFNA(INDEX('1.2 FY2017'!$B$5:$G$86,MATCH('2.1 Database'!$B100,'1.2 FY2017'!$B$5:$B$86,0),MATCH('2.1 Database'!E$3,'1.2 FY2017'!$B$4:$G$4,0)),INDEX('1.3 FY2018'!$B$5:$G$78,MATCH('2.1 Database'!$B100,'1.3 FY2018'!$B$5:$B$78,0),MATCH('2.1 Database'!E$3,'1.3 FY2018'!$B$4:$G$4,0))))</f>
        <v>External</v>
      </c>
      <c r="F100" s="28">
        <f>-SUMIF('1.1 FY2016'!$B$5:$B$61,'2.1 Database'!$B100,'1.1 FY2016'!$F$5:$F$61)</f>
        <v>0</v>
      </c>
      <c r="G100" s="28">
        <f>-SUMIF('1.2 FY2017'!$B$5:$B$86,'2.1 Database'!$B100,'1.2 FY2017'!$F$5:$F$86)</f>
        <v>0</v>
      </c>
      <c r="H100" s="28">
        <f>-SUMIF('1.3 FY2018'!$B$5:$B$78,'2.1 Database'!$B100,'1.3 FY2018'!$F$5:$F$78)</f>
        <v>1252.8369999999998</v>
      </c>
      <c r="J100" s="2" t="s">
        <v>226</v>
      </c>
    </row>
    <row r="101" spans="2:10" x14ac:dyDescent="0.25">
      <c r="B101" s="24" t="s">
        <v>213</v>
      </c>
      <c r="C101" s="6" t="str">
        <f>_xlfn.IFNA(INDEX('1.1 FY2016'!$B$5:$G$61,MATCH('2.1 Database'!$B101,'1.1 FY2016'!$B$5:$B$61,0),MATCH('2.1 Database'!C$3,'1.1 FY2016'!$B$4:$G$4,0)),_xlfn.IFNA(INDEX('1.2 FY2017'!$B$5:$G$86,MATCH('2.1 Database'!$B101,'1.2 FY2017'!$B$5:$B$86,0),MATCH('2.1 Database'!C$3,'1.2 FY2017'!$B$4:$G$4,0)),INDEX('1.3 FY2018'!$B$5:$G$78,MATCH('2.1 Database'!$B101,'1.3 FY2018'!$B$5:$B$78,0),MATCH('2.1 Database'!C$3,'1.3 FY2018'!$B$4:$G$4,0))))</f>
        <v>Corporate recharges</v>
      </c>
      <c r="D101" s="6">
        <f>_xlfn.IFNA(INDEX('1.1 FY2016'!$B$5:$G$61,MATCH('2.1 Database'!$B101,'1.1 FY2016'!$B$5:$B$61,0),MATCH('2.1 Database'!D$3,'1.1 FY2016'!$B$4:$G$4,0)),_xlfn.IFNA(INDEX('1.2 FY2017'!$B$5:$G$86,MATCH('2.1 Database'!$B101,'1.2 FY2017'!$B$5:$B$86,0),MATCH('2.1 Database'!D$3,'1.2 FY2017'!$B$4:$G$4,0)),INDEX('1.3 FY2018'!$B$5:$G$78,MATCH('2.1 Database'!$B101,'1.3 FY2018'!$B$5:$B$78,0),MATCH('2.1 Database'!D$3,'1.3 FY2018'!$B$4:$G$4,0))))</f>
        <v>1006</v>
      </c>
      <c r="E101" s="6" t="str">
        <f>_xlfn.IFNA(INDEX('1.1 FY2016'!$B$5:$G$61,MATCH('2.1 Database'!$B101,'1.1 FY2016'!$B$5:$B$61,0),MATCH('2.1 Database'!E$3,'1.1 FY2016'!$B$4:$G$4,0)),_xlfn.IFNA(INDEX('1.2 FY2017'!$B$5:$G$86,MATCH('2.1 Database'!$B101,'1.2 FY2017'!$B$5:$B$86,0),MATCH('2.1 Database'!E$3,'1.2 FY2017'!$B$4:$G$4,0)),INDEX('1.3 FY2018'!$B$5:$G$78,MATCH('2.1 Database'!$B101,'1.3 FY2018'!$B$5:$B$78,0),MATCH('2.1 Database'!E$3,'1.3 FY2018'!$B$4:$G$4,0))))</f>
        <v>Generco Mining GmbH</v>
      </c>
      <c r="F101" s="28">
        <f>-SUMIF('1.1 FY2016'!$B$5:$B$61,'2.1 Database'!$B101,'1.1 FY2016'!$F$5:$F$61)</f>
        <v>0</v>
      </c>
      <c r="G101" s="28">
        <f>-SUMIF('1.2 FY2017'!$B$5:$B$86,'2.1 Database'!$B101,'1.2 FY2017'!$F$5:$F$86)</f>
        <v>0</v>
      </c>
      <c r="H101" s="28">
        <f>-SUMIF('1.3 FY2018'!$B$5:$B$78,'2.1 Database'!$B101,'1.3 FY2018'!$F$5:$F$78)</f>
        <v>0</v>
      </c>
      <c r="J101" s="2" t="s">
        <v>228</v>
      </c>
    </row>
    <row r="102" spans="2:10" x14ac:dyDescent="0.25">
      <c r="B102" s="24" t="s">
        <v>214</v>
      </c>
      <c r="C102" s="6" t="str">
        <f>_xlfn.IFNA(INDEX('1.1 FY2016'!$B$5:$G$61,MATCH('2.1 Database'!$B102,'1.1 FY2016'!$B$5:$B$61,0),MATCH('2.1 Database'!C$3,'1.1 FY2016'!$B$4:$G$4,0)),_xlfn.IFNA(INDEX('1.2 FY2017'!$B$5:$G$86,MATCH('2.1 Database'!$B102,'1.2 FY2017'!$B$5:$B$86,0),MATCH('2.1 Database'!C$3,'1.2 FY2017'!$B$4:$G$4,0)),INDEX('1.3 FY2018'!$B$5:$G$78,MATCH('2.1 Database'!$B102,'1.3 FY2018'!$B$5:$B$78,0),MATCH('2.1 Database'!C$3,'1.3 FY2018'!$B$4:$G$4,0))))</f>
        <v>Reimbursements+compensation for damages</v>
      </c>
      <c r="D102" s="6">
        <f>_xlfn.IFNA(INDEX('1.1 FY2016'!$B$5:$G$61,MATCH('2.1 Database'!$B102,'1.1 FY2016'!$B$5:$B$61,0),MATCH('2.1 Database'!D$3,'1.1 FY2016'!$B$4:$G$4,0)),_xlfn.IFNA(INDEX('1.2 FY2017'!$B$5:$G$86,MATCH('2.1 Database'!$B102,'1.2 FY2017'!$B$5:$B$86,0),MATCH('2.1 Database'!D$3,'1.2 FY2017'!$B$4:$G$4,0)),INDEX('1.3 FY2018'!$B$5:$G$78,MATCH('2.1 Database'!$B102,'1.3 FY2018'!$B$5:$B$78,0),MATCH('2.1 Database'!D$3,'1.3 FY2018'!$B$4:$G$4,0))))</f>
        <v>111111</v>
      </c>
      <c r="E102" s="6" t="str">
        <f>_xlfn.IFNA(INDEX('1.1 FY2016'!$B$5:$G$61,MATCH('2.1 Database'!$B102,'1.1 FY2016'!$B$5:$B$61,0),MATCH('2.1 Database'!E$3,'1.1 FY2016'!$B$4:$G$4,0)),_xlfn.IFNA(INDEX('1.2 FY2017'!$B$5:$G$86,MATCH('2.1 Database'!$B102,'1.2 FY2017'!$B$5:$B$86,0),MATCH('2.1 Database'!E$3,'1.2 FY2017'!$B$4:$G$4,0)),INDEX('1.3 FY2018'!$B$5:$G$78,MATCH('2.1 Database'!$B102,'1.3 FY2018'!$B$5:$B$78,0),MATCH('2.1 Database'!E$3,'1.3 FY2018'!$B$4:$G$4,0))))</f>
        <v>External</v>
      </c>
      <c r="F102" s="28">
        <f>-SUMIF('1.1 FY2016'!$B$5:$B$61,'2.1 Database'!$B102,'1.1 FY2016'!$F$5:$F$61)</f>
        <v>0</v>
      </c>
      <c r="G102" s="28">
        <f>-SUMIF('1.2 FY2017'!$B$5:$B$86,'2.1 Database'!$B102,'1.2 FY2017'!$F$5:$F$86)</f>
        <v>0</v>
      </c>
      <c r="H102" s="28">
        <f>-SUMIF('1.3 FY2018'!$B$5:$B$78,'2.1 Database'!$B102,'1.3 FY2018'!$F$5:$F$78)</f>
        <v>61499.999999999993</v>
      </c>
      <c r="J102" s="2" t="s">
        <v>226</v>
      </c>
    </row>
    <row r="103" spans="2:10" x14ac:dyDescent="0.25">
      <c r="B103" s="24" t="s">
        <v>215</v>
      </c>
      <c r="C103" s="6" t="str">
        <f>_xlfn.IFNA(INDEX('1.1 FY2016'!$B$5:$G$61,MATCH('2.1 Database'!$B103,'1.1 FY2016'!$B$5:$B$61,0),MATCH('2.1 Database'!C$3,'1.1 FY2016'!$B$4:$G$4,0)),_xlfn.IFNA(INDEX('1.2 FY2017'!$B$5:$G$86,MATCH('2.1 Database'!$B103,'1.2 FY2017'!$B$5:$B$86,0),MATCH('2.1 Database'!C$3,'1.2 FY2017'!$B$4:$G$4,0)),INDEX('1.3 FY2018'!$B$5:$G$78,MATCH('2.1 Database'!$B103,'1.3 FY2018'!$B$5:$B$78,0),MATCH('2.1 Database'!C$3,'1.3 FY2018'!$B$4:$G$4,0))))</f>
        <v>Other income</v>
      </c>
      <c r="D103" s="6">
        <f>_xlfn.IFNA(INDEX('1.1 FY2016'!$B$5:$G$61,MATCH('2.1 Database'!$B103,'1.1 FY2016'!$B$5:$B$61,0),MATCH('2.1 Database'!D$3,'1.1 FY2016'!$B$4:$G$4,0)),_xlfn.IFNA(INDEX('1.2 FY2017'!$B$5:$G$86,MATCH('2.1 Database'!$B103,'1.2 FY2017'!$B$5:$B$86,0),MATCH('2.1 Database'!D$3,'1.2 FY2017'!$B$4:$G$4,0)),INDEX('1.3 FY2018'!$B$5:$G$78,MATCH('2.1 Database'!$B103,'1.3 FY2018'!$B$5:$B$78,0),MATCH('2.1 Database'!D$3,'1.3 FY2018'!$B$4:$G$4,0))))</f>
        <v>105</v>
      </c>
      <c r="E103" s="6" t="str">
        <f>_xlfn.IFNA(INDEX('1.1 FY2016'!$B$5:$G$61,MATCH('2.1 Database'!$B103,'1.1 FY2016'!$B$5:$B$61,0),MATCH('2.1 Database'!E$3,'1.1 FY2016'!$B$4:$G$4,0)),_xlfn.IFNA(INDEX('1.2 FY2017'!$B$5:$G$86,MATCH('2.1 Database'!$B103,'1.2 FY2017'!$B$5:$B$86,0),MATCH('2.1 Database'!E$3,'1.2 FY2017'!$B$4:$G$4,0)),INDEX('1.3 FY2018'!$B$5:$G$78,MATCH('2.1 Database'!$B103,'1.3 FY2018'!$B$5:$B$78,0),MATCH('2.1 Database'!E$3,'1.3 FY2018'!$B$4:$G$4,0))))</f>
        <v>Generco Healthcare Ltd</v>
      </c>
      <c r="F103" s="28">
        <f>-SUMIF('1.1 FY2016'!$B$5:$B$61,'2.1 Database'!$B103,'1.1 FY2016'!$F$5:$F$61)</f>
        <v>0</v>
      </c>
      <c r="G103" s="28">
        <f>-SUMIF('1.2 FY2017'!$B$5:$B$86,'2.1 Database'!$B103,'1.2 FY2017'!$F$5:$F$86)</f>
        <v>0</v>
      </c>
      <c r="H103" s="28">
        <f>-SUMIF('1.3 FY2018'!$B$5:$B$78,'2.1 Database'!$B103,'1.3 FY2018'!$F$5:$F$78)</f>
        <v>30913.425999999996</v>
      </c>
      <c r="J103" s="2" t="s">
        <v>74</v>
      </c>
    </row>
    <row r="104" spans="2:10" x14ac:dyDescent="0.25">
      <c r="B104" s="24" t="s">
        <v>216</v>
      </c>
      <c r="C104" s="6" t="str">
        <f>_xlfn.IFNA(INDEX('1.1 FY2016'!$B$5:$G$61,MATCH('2.1 Database'!$B104,'1.1 FY2016'!$B$5:$B$61,0),MATCH('2.1 Database'!C$3,'1.1 FY2016'!$B$4:$G$4,0)),_xlfn.IFNA(INDEX('1.2 FY2017'!$B$5:$G$86,MATCH('2.1 Database'!$B104,'1.2 FY2017'!$B$5:$B$86,0),MATCH('2.1 Database'!C$3,'1.2 FY2017'!$B$4:$G$4,0)),INDEX('1.3 FY2018'!$B$5:$G$78,MATCH('2.1 Database'!$B104,'1.3 FY2018'!$B$5:$B$78,0),MATCH('2.1 Database'!C$3,'1.3 FY2018'!$B$4:$G$4,0))))</f>
        <v>Leasings</v>
      </c>
      <c r="D104" s="6">
        <f>_xlfn.IFNA(INDEX('1.1 FY2016'!$B$5:$G$61,MATCH('2.1 Database'!$B104,'1.1 FY2016'!$B$5:$B$61,0),MATCH('2.1 Database'!D$3,'1.1 FY2016'!$B$4:$G$4,0)),_xlfn.IFNA(INDEX('1.2 FY2017'!$B$5:$G$86,MATCH('2.1 Database'!$B104,'1.2 FY2017'!$B$5:$B$86,0),MATCH('2.1 Database'!D$3,'1.2 FY2017'!$B$4:$G$4,0)),INDEX('1.3 FY2018'!$B$5:$G$78,MATCH('2.1 Database'!$B104,'1.3 FY2018'!$B$5:$B$78,0),MATCH('2.1 Database'!D$3,'1.3 FY2018'!$B$4:$G$4,0))))</f>
        <v>105</v>
      </c>
      <c r="E104" s="6" t="str">
        <f>_xlfn.IFNA(INDEX('1.1 FY2016'!$B$5:$G$61,MATCH('2.1 Database'!$B104,'1.1 FY2016'!$B$5:$B$61,0),MATCH('2.1 Database'!E$3,'1.1 FY2016'!$B$4:$G$4,0)),_xlfn.IFNA(INDEX('1.2 FY2017'!$B$5:$G$86,MATCH('2.1 Database'!$B104,'1.2 FY2017'!$B$5:$B$86,0),MATCH('2.1 Database'!E$3,'1.2 FY2017'!$B$4:$G$4,0)),INDEX('1.3 FY2018'!$B$5:$G$78,MATCH('2.1 Database'!$B104,'1.3 FY2018'!$B$5:$B$78,0),MATCH('2.1 Database'!E$3,'1.3 FY2018'!$B$4:$G$4,0))))</f>
        <v>Generco Healthcare Ltd</v>
      </c>
      <c r="F104" s="28">
        <f>-SUMIF('1.1 FY2016'!$B$5:$B$61,'2.1 Database'!$B104,'1.1 FY2016'!$F$5:$F$61)</f>
        <v>0</v>
      </c>
      <c r="G104" s="28">
        <f>-SUMIF('1.2 FY2017'!$B$5:$B$86,'2.1 Database'!$B104,'1.2 FY2017'!$F$5:$F$86)</f>
        <v>0</v>
      </c>
      <c r="H104" s="28">
        <f>-SUMIF('1.3 FY2018'!$B$5:$B$78,'2.1 Database'!$B104,'1.3 FY2018'!$F$5:$F$78)</f>
        <v>1423120</v>
      </c>
      <c r="J104" s="2" t="s">
        <v>229</v>
      </c>
    </row>
    <row r="105" spans="2:10" x14ac:dyDescent="0.25">
      <c r="B105" s="24" t="s">
        <v>217</v>
      </c>
      <c r="C105" s="6" t="str">
        <f>_xlfn.IFNA(INDEX('1.1 FY2016'!$B$5:$G$61,MATCH('2.1 Database'!$B105,'1.1 FY2016'!$B$5:$B$61,0),MATCH('2.1 Database'!C$3,'1.1 FY2016'!$B$4:$G$4,0)),_xlfn.IFNA(INDEX('1.2 FY2017'!$B$5:$G$86,MATCH('2.1 Database'!$B105,'1.2 FY2017'!$B$5:$B$86,0),MATCH('2.1 Database'!C$3,'1.2 FY2017'!$B$4:$G$4,0)),INDEX('1.3 FY2018'!$B$5:$G$78,MATCH('2.1 Database'!$B105,'1.3 FY2018'!$B$5:$B$78,0),MATCH('2.1 Database'!C$3,'1.3 FY2018'!$B$4:$G$4,0))))</f>
        <v>Insurance expenses</v>
      </c>
      <c r="D105" s="6">
        <f>_xlfn.IFNA(INDEX('1.1 FY2016'!$B$5:$G$61,MATCH('2.1 Database'!$B105,'1.1 FY2016'!$B$5:$B$61,0),MATCH('2.1 Database'!D$3,'1.1 FY2016'!$B$4:$G$4,0)),_xlfn.IFNA(INDEX('1.2 FY2017'!$B$5:$G$86,MATCH('2.1 Database'!$B105,'1.2 FY2017'!$B$5:$B$86,0),MATCH('2.1 Database'!D$3,'1.2 FY2017'!$B$4:$G$4,0)),INDEX('1.3 FY2018'!$B$5:$G$78,MATCH('2.1 Database'!$B105,'1.3 FY2018'!$B$5:$B$78,0),MATCH('2.1 Database'!D$3,'1.3 FY2018'!$B$4:$G$4,0))))</f>
        <v>88</v>
      </c>
      <c r="E105" s="6" t="str">
        <f>_xlfn.IFNA(INDEX('1.1 FY2016'!$B$5:$G$61,MATCH('2.1 Database'!$B105,'1.1 FY2016'!$B$5:$B$61,0),MATCH('2.1 Database'!E$3,'1.1 FY2016'!$B$4:$G$4,0)),_xlfn.IFNA(INDEX('1.2 FY2017'!$B$5:$G$86,MATCH('2.1 Database'!$B105,'1.2 FY2017'!$B$5:$B$86,0),MATCH('2.1 Database'!E$3,'1.2 FY2017'!$B$4:$G$4,0)),INDEX('1.3 FY2018'!$B$5:$G$78,MATCH('2.1 Database'!$B105,'1.3 FY2018'!$B$5:$B$78,0),MATCH('2.1 Database'!E$3,'1.3 FY2018'!$B$4:$G$4,0))))</f>
        <v>Generco Ltd</v>
      </c>
      <c r="F105" s="28">
        <f>-SUMIF('1.1 FY2016'!$B$5:$B$61,'2.1 Database'!$B105,'1.1 FY2016'!$F$5:$F$61)</f>
        <v>0</v>
      </c>
      <c r="G105" s="28">
        <f>-SUMIF('1.2 FY2017'!$B$5:$B$86,'2.1 Database'!$B105,'1.2 FY2017'!$F$5:$F$86)</f>
        <v>0</v>
      </c>
      <c r="H105" s="28">
        <f>-SUMIF('1.3 FY2018'!$B$5:$B$78,'2.1 Database'!$B105,'1.3 FY2018'!$F$5:$F$78)</f>
        <v>-584.66</v>
      </c>
      <c r="J105" s="2" t="s">
        <v>226</v>
      </c>
    </row>
    <row r="106" spans="2:10" x14ac:dyDescent="0.25">
      <c r="B106" s="24" t="s">
        <v>218</v>
      </c>
      <c r="C106" s="6" t="str">
        <f>_xlfn.IFNA(INDEX('1.1 FY2016'!$B$5:$G$61,MATCH('2.1 Database'!$B106,'1.1 FY2016'!$B$5:$B$61,0),MATCH('2.1 Database'!C$3,'1.1 FY2016'!$B$4:$G$4,0)),_xlfn.IFNA(INDEX('1.2 FY2017'!$B$5:$G$86,MATCH('2.1 Database'!$B106,'1.2 FY2017'!$B$5:$B$86,0),MATCH('2.1 Database'!C$3,'1.2 FY2017'!$B$4:$G$4,0)),INDEX('1.3 FY2018'!$B$5:$G$78,MATCH('2.1 Database'!$B106,'1.3 FY2018'!$B$5:$B$78,0),MATCH('2.1 Database'!C$3,'1.3 FY2018'!$B$4:$G$4,0))))</f>
        <v>Repairs/Maintenance costs</v>
      </c>
      <c r="D106" s="6">
        <f>_xlfn.IFNA(INDEX('1.1 FY2016'!$B$5:$G$61,MATCH('2.1 Database'!$B106,'1.1 FY2016'!$B$5:$B$61,0),MATCH('2.1 Database'!D$3,'1.1 FY2016'!$B$4:$G$4,0)),_xlfn.IFNA(INDEX('1.2 FY2017'!$B$5:$G$86,MATCH('2.1 Database'!$B106,'1.2 FY2017'!$B$5:$B$86,0),MATCH('2.1 Database'!D$3,'1.2 FY2017'!$B$4:$G$4,0)),INDEX('1.3 FY2018'!$B$5:$G$78,MATCH('2.1 Database'!$B106,'1.3 FY2018'!$B$5:$B$78,0),MATCH('2.1 Database'!D$3,'1.3 FY2018'!$B$4:$G$4,0))))</f>
        <v>111111</v>
      </c>
      <c r="E106" s="6" t="str">
        <f>_xlfn.IFNA(INDEX('1.1 FY2016'!$B$5:$G$61,MATCH('2.1 Database'!$B106,'1.1 FY2016'!$B$5:$B$61,0),MATCH('2.1 Database'!E$3,'1.1 FY2016'!$B$4:$G$4,0)),_xlfn.IFNA(INDEX('1.2 FY2017'!$B$5:$G$86,MATCH('2.1 Database'!$B106,'1.2 FY2017'!$B$5:$B$86,0),MATCH('2.1 Database'!E$3,'1.2 FY2017'!$B$4:$G$4,0)),INDEX('1.3 FY2018'!$B$5:$G$78,MATCH('2.1 Database'!$B106,'1.3 FY2018'!$B$5:$B$78,0),MATCH('2.1 Database'!E$3,'1.3 FY2018'!$B$4:$G$4,0))))</f>
        <v>External</v>
      </c>
      <c r="F106" s="28">
        <f>-SUMIF('1.1 FY2016'!$B$5:$B$61,'2.1 Database'!$B106,'1.1 FY2016'!$F$5:$F$61)</f>
        <v>0</v>
      </c>
      <c r="G106" s="28">
        <f>-SUMIF('1.2 FY2017'!$B$5:$B$86,'2.1 Database'!$B106,'1.2 FY2017'!$F$5:$F$86)</f>
        <v>0</v>
      </c>
      <c r="H106" s="28">
        <f>-SUMIF('1.3 FY2018'!$B$5:$B$78,'2.1 Database'!$B106,'1.3 FY2018'!$F$5:$F$78)</f>
        <v>-1352.9999999999998</v>
      </c>
      <c r="J106" s="2" t="s">
        <v>226</v>
      </c>
    </row>
    <row r="107" spans="2:10" x14ac:dyDescent="0.25">
      <c r="B107" s="24" t="s">
        <v>219</v>
      </c>
      <c r="C107" s="6" t="str">
        <f>_xlfn.IFNA(INDEX('1.1 FY2016'!$B$5:$G$61,MATCH('2.1 Database'!$B107,'1.1 FY2016'!$B$5:$B$61,0),MATCH('2.1 Database'!C$3,'1.1 FY2016'!$B$4:$G$4,0)),_xlfn.IFNA(INDEX('1.2 FY2017'!$B$5:$G$86,MATCH('2.1 Database'!$B107,'1.2 FY2017'!$B$5:$B$86,0),MATCH('2.1 Database'!C$3,'1.2 FY2017'!$B$4:$G$4,0)),INDEX('1.3 FY2018'!$B$5:$G$78,MATCH('2.1 Database'!$B107,'1.3 FY2018'!$B$5:$B$78,0),MATCH('2.1 Database'!C$3,'1.3 FY2018'!$B$4:$G$4,0))))</f>
        <v>Impairment of participation</v>
      </c>
      <c r="D107" s="6">
        <f>_xlfn.IFNA(INDEX('1.1 FY2016'!$B$5:$G$61,MATCH('2.1 Database'!$B107,'1.1 FY2016'!$B$5:$B$61,0),MATCH('2.1 Database'!D$3,'1.1 FY2016'!$B$4:$G$4,0)),_xlfn.IFNA(INDEX('1.2 FY2017'!$B$5:$G$86,MATCH('2.1 Database'!$B107,'1.2 FY2017'!$B$5:$B$86,0),MATCH('2.1 Database'!D$3,'1.2 FY2017'!$B$4:$G$4,0)),INDEX('1.3 FY2018'!$B$5:$G$78,MATCH('2.1 Database'!$B107,'1.3 FY2018'!$B$5:$B$78,0),MATCH('2.1 Database'!D$3,'1.3 FY2018'!$B$4:$G$4,0))))</f>
        <v>111101</v>
      </c>
      <c r="E107" s="6" t="str">
        <f>_xlfn.IFNA(INDEX('1.1 FY2016'!$B$5:$G$61,MATCH('2.1 Database'!$B107,'1.1 FY2016'!$B$5:$B$61,0),MATCH('2.1 Database'!E$3,'1.1 FY2016'!$B$4:$G$4,0)),_xlfn.IFNA(INDEX('1.2 FY2017'!$B$5:$G$86,MATCH('2.1 Database'!$B107,'1.2 FY2017'!$B$5:$B$86,0),MATCH('2.1 Database'!E$3,'1.2 FY2017'!$B$4:$G$4,0)),INDEX('1.3 FY2018'!$B$5:$G$78,MATCH('2.1 Database'!$B107,'1.3 FY2018'!$B$5:$B$78,0),MATCH('2.1 Database'!E$3,'1.3 FY2018'!$B$4:$G$4,0))))</f>
        <v>Not assigned</v>
      </c>
      <c r="F107" s="28">
        <f>-SUMIF('1.1 FY2016'!$B$5:$B$61,'2.1 Database'!$B107,'1.1 FY2016'!$F$5:$F$61)</f>
        <v>0</v>
      </c>
      <c r="G107" s="28">
        <f>-SUMIF('1.2 FY2017'!$B$5:$B$86,'2.1 Database'!$B107,'1.2 FY2017'!$F$5:$F$86)</f>
        <v>0</v>
      </c>
      <c r="H107" s="28">
        <f>-SUMIF('1.3 FY2018'!$B$5:$B$78,'2.1 Database'!$B107,'1.3 FY2018'!$F$5:$F$78)</f>
        <v>0</v>
      </c>
      <c r="J107" s="2">
        <v>0</v>
      </c>
    </row>
    <row r="108" spans="2:10" x14ac:dyDescent="0.25">
      <c r="B108" s="24" t="s">
        <v>220</v>
      </c>
      <c r="C108" s="6" t="str">
        <f>_xlfn.IFNA(INDEX('1.1 FY2016'!$B$5:$G$61,MATCH('2.1 Database'!$B108,'1.1 FY2016'!$B$5:$B$61,0),MATCH('2.1 Database'!C$3,'1.1 FY2016'!$B$4:$G$4,0)),_xlfn.IFNA(INDEX('1.2 FY2017'!$B$5:$G$86,MATCH('2.1 Database'!$B108,'1.2 FY2017'!$B$5:$B$86,0),MATCH('2.1 Database'!C$3,'1.2 FY2017'!$B$4:$G$4,0)),INDEX('1.3 FY2018'!$B$5:$G$78,MATCH('2.1 Database'!$B108,'1.3 FY2018'!$B$5:$B$78,0),MATCH('2.1 Database'!C$3,'1.3 FY2018'!$B$4:$G$4,0))))</f>
        <v>Offset segments (tech.)</v>
      </c>
      <c r="D108" s="6">
        <f>_xlfn.IFNA(INDEX('1.1 FY2016'!$B$5:$G$61,MATCH('2.1 Database'!$B108,'1.1 FY2016'!$B$5:$B$61,0),MATCH('2.1 Database'!D$3,'1.1 FY2016'!$B$4:$G$4,0)),_xlfn.IFNA(INDEX('1.2 FY2017'!$B$5:$G$86,MATCH('2.1 Database'!$B108,'1.2 FY2017'!$B$5:$B$86,0),MATCH('2.1 Database'!D$3,'1.2 FY2017'!$B$4:$G$4,0)),INDEX('1.3 FY2018'!$B$5:$G$78,MATCH('2.1 Database'!$B108,'1.3 FY2018'!$B$5:$B$78,0),MATCH('2.1 Database'!D$3,'1.3 FY2018'!$B$4:$G$4,0))))</f>
        <v>111101</v>
      </c>
      <c r="E108" s="6" t="str">
        <f>_xlfn.IFNA(INDEX('1.1 FY2016'!$B$5:$G$61,MATCH('2.1 Database'!$B108,'1.1 FY2016'!$B$5:$B$61,0),MATCH('2.1 Database'!E$3,'1.1 FY2016'!$B$4:$G$4,0)),_xlfn.IFNA(INDEX('1.2 FY2017'!$B$5:$G$86,MATCH('2.1 Database'!$B108,'1.2 FY2017'!$B$5:$B$86,0),MATCH('2.1 Database'!E$3,'1.2 FY2017'!$B$4:$G$4,0)),INDEX('1.3 FY2018'!$B$5:$G$78,MATCH('2.1 Database'!$B108,'1.3 FY2018'!$B$5:$B$78,0),MATCH('2.1 Database'!E$3,'1.3 FY2018'!$B$4:$G$4,0))))</f>
        <v>Not assigned</v>
      </c>
      <c r="F108" s="28">
        <f>-SUMIF('1.1 FY2016'!$B$5:$B$61,'2.1 Database'!$B108,'1.1 FY2016'!$F$5:$F$61)</f>
        <v>0</v>
      </c>
      <c r="G108" s="28">
        <f>-SUMIF('1.2 FY2017'!$B$5:$B$86,'2.1 Database'!$B108,'1.2 FY2017'!$F$5:$F$86)</f>
        <v>0</v>
      </c>
      <c r="H108" s="28">
        <f>-SUMIF('1.3 FY2018'!$B$5:$B$78,'2.1 Database'!$B108,'1.3 FY2018'!$F$5:$F$78)</f>
        <v>0</v>
      </c>
      <c r="J108" s="2">
        <v>0</v>
      </c>
    </row>
    <row r="109" spans="2:10" x14ac:dyDescent="0.25">
      <c r="B109" s="27"/>
    </row>
    <row r="110" spans="2:10" x14ac:dyDescent="0.25">
      <c r="B110" s="27"/>
    </row>
    <row r="111" spans="2:10" x14ac:dyDescent="0.25">
      <c r="B111" s="27"/>
    </row>
    <row r="112" spans="2:10" x14ac:dyDescent="0.25">
      <c r="B112" s="27"/>
    </row>
    <row r="113" spans="2:2" x14ac:dyDescent="0.25">
      <c r="B113" s="27"/>
    </row>
    <row r="114" spans="2:2" x14ac:dyDescent="0.25">
      <c r="B114" s="27"/>
    </row>
    <row r="115" spans="2:2" x14ac:dyDescent="0.25">
      <c r="B115" s="27"/>
    </row>
    <row r="116" spans="2:2" x14ac:dyDescent="0.25">
      <c r="B116" s="27"/>
    </row>
    <row r="117" spans="2:2" x14ac:dyDescent="0.25">
      <c r="B117" s="27"/>
    </row>
    <row r="118" spans="2:2" x14ac:dyDescent="0.25">
      <c r="B118" s="27"/>
    </row>
    <row r="119" spans="2:2" x14ac:dyDescent="0.25">
      <c r="B119" s="27"/>
    </row>
    <row r="120" spans="2:2" x14ac:dyDescent="0.25">
      <c r="B120" s="27"/>
    </row>
    <row r="121" spans="2:2" x14ac:dyDescent="0.25">
      <c r="B121" s="27"/>
    </row>
    <row r="122" spans="2:2" x14ac:dyDescent="0.25">
      <c r="B122" s="27"/>
    </row>
    <row r="123" spans="2:2" x14ac:dyDescent="0.25">
      <c r="B123" s="27"/>
    </row>
    <row r="124" spans="2:2" x14ac:dyDescent="0.25">
      <c r="B124" s="27"/>
    </row>
    <row r="125" spans="2:2" x14ac:dyDescent="0.25">
      <c r="B125" s="27"/>
    </row>
    <row r="126" spans="2:2" x14ac:dyDescent="0.25">
      <c r="B126" s="27"/>
    </row>
    <row r="127" spans="2:2" x14ac:dyDescent="0.25">
      <c r="B127" s="27"/>
    </row>
    <row r="128" spans="2:2" x14ac:dyDescent="0.25">
      <c r="B128" s="27"/>
    </row>
    <row r="129" spans="2:2" x14ac:dyDescent="0.25">
      <c r="B129" s="27"/>
    </row>
    <row r="130" spans="2:2" x14ac:dyDescent="0.25">
      <c r="B130" s="27"/>
    </row>
    <row r="131" spans="2:2" x14ac:dyDescent="0.25">
      <c r="B131" s="27"/>
    </row>
    <row r="132" spans="2:2" x14ac:dyDescent="0.25">
      <c r="B132" s="27"/>
    </row>
    <row r="133" spans="2:2" x14ac:dyDescent="0.25">
      <c r="B133" s="27"/>
    </row>
    <row r="134" spans="2:2" x14ac:dyDescent="0.25">
      <c r="B134" s="27"/>
    </row>
    <row r="135" spans="2:2" x14ac:dyDescent="0.25">
      <c r="B135" s="27"/>
    </row>
    <row r="136" spans="2:2" x14ac:dyDescent="0.25">
      <c r="B136" s="27"/>
    </row>
    <row r="137" spans="2:2" x14ac:dyDescent="0.25">
      <c r="B137" s="27"/>
    </row>
    <row r="138" spans="2:2" x14ac:dyDescent="0.25">
      <c r="B138" s="27"/>
    </row>
    <row r="139" spans="2:2" x14ac:dyDescent="0.25">
      <c r="B139" s="27"/>
    </row>
    <row r="140" spans="2:2" x14ac:dyDescent="0.25">
      <c r="B140" s="27"/>
    </row>
    <row r="141" spans="2:2" x14ac:dyDescent="0.25">
      <c r="B141" s="27"/>
    </row>
    <row r="142" spans="2:2" x14ac:dyDescent="0.25">
      <c r="B142" s="27"/>
    </row>
    <row r="143" spans="2:2" x14ac:dyDescent="0.25">
      <c r="B143" s="27"/>
    </row>
    <row r="144" spans="2:2" x14ac:dyDescent="0.25">
      <c r="B144" s="27"/>
    </row>
    <row r="145" spans="2:2" x14ac:dyDescent="0.25">
      <c r="B145" s="27"/>
    </row>
    <row r="146" spans="2:2" x14ac:dyDescent="0.25">
      <c r="B146" s="27"/>
    </row>
    <row r="147" spans="2:2" x14ac:dyDescent="0.25">
      <c r="B147" s="27"/>
    </row>
    <row r="148" spans="2:2" x14ac:dyDescent="0.25">
      <c r="B148" s="27"/>
    </row>
    <row r="149" spans="2:2" x14ac:dyDescent="0.25">
      <c r="B149" s="27"/>
    </row>
    <row r="150" spans="2:2" x14ac:dyDescent="0.25">
      <c r="B150" s="27"/>
    </row>
    <row r="151" spans="2:2" x14ac:dyDescent="0.25">
      <c r="B151" s="27"/>
    </row>
    <row r="152" spans="2:2" x14ac:dyDescent="0.25">
      <c r="B152" s="27"/>
    </row>
    <row r="153" spans="2:2" x14ac:dyDescent="0.25">
      <c r="B153" s="27"/>
    </row>
    <row r="154" spans="2:2" x14ac:dyDescent="0.25">
      <c r="B154" s="27"/>
    </row>
    <row r="155" spans="2:2" x14ac:dyDescent="0.25">
      <c r="B155" s="27"/>
    </row>
    <row r="156" spans="2:2" x14ac:dyDescent="0.25">
      <c r="B156" s="27"/>
    </row>
    <row r="157" spans="2:2" x14ac:dyDescent="0.25">
      <c r="B157" s="27"/>
    </row>
    <row r="158" spans="2:2" x14ac:dyDescent="0.25">
      <c r="B158" s="27"/>
    </row>
    <row r="159" spans="2:2" x14ac:dyDescent="0.25">
      <c r="B159" s="27"/>
    </row>
    <row r="160" spans="2:2" x14ac:dyDescent="0.25">
      <c r="B160" s="27"/>
    </row>
    <row r="161" spans="2:2" x14ac:dyDescent="0.25">
      <c r="B161" s="27"/>
    </row>
    <row r="162" spans="2:2" x14ac:dyDescent="0.25">
      <c r="B162" s="27"/>
    </row>
    <row r="163" spans="2:2" x14ac:dyDescent="0.25">
      <c r="B163" s="27"/>
    </row>
    <row r="164" spans="2:2" x14ac:dyDescent="0.25">
      <c r="B164" s="27"/>
    </row>
    <row r="165" spans="2:2" x14ac:dyDescent="0.25">
      <c r="B165" s="27"/>
    </row>
    <row r="166" spans="2:2" x14ac:dyDescent="0.25">
      <c r="B166" s="27"/>
    </row>
    <row r="167" spans="2:2" x14ac:dyDescent="0.25">
      <c r="B167" s="27"/>
    </row>
    <row r="168" spans="2:2" x14ac:dyDescent="0.25">
      <c r="B168" s="27"/>
    </row>
    <row r="169" spans="2:2" x14ac:dyDescent="0.25">
      <c r="B169" s="27"/>
    </row>
    <row r="170" spans="2:2" x14ac:dyDescent="0.25">
      <c r="B170" s="27"/>
    </row>
    <row r="171" spans="2:2" x14ac:dyDescent="0.25">
      <c r="B171" s="27"/>
    </row>
    <row r="172" spans="2:2" x14ac:dyDescent="0.25">
      <c r="B172" s="27"/>
    </row>
    <row r="173" spans="2:2" x14ac:dyDescent="0.25">
      <c r="B173" s="27"/>
    </row>
    <row r="174" spans="2:2" x14ac:dyDescent="0.25">
      <c r="B174" s="27"/>
    </row>
    <row r="175" spans="2:2" x14ac:dyDescent="0.25">
      <c r="B175" s="27"/>
    </row>
    <row r="176" spans="2:2" x14ac:dyDescent="0.25">
      <c r="B176" s="27"/>
    </row>
    <row r="177" spans="2:2" x14ac:dyDescent="0.25">
      <c r="B177" s="27"/>
    </row>
    <row r="178" spans="2:2" x14ac:dyDescent="0.25">
      <c r="B178" s="27"/>
    </row>
    <row r="179" spans="2:2" x14ac:dyDescent="0.25">
      <c r="B179" s="27"/>
    </row>
    <row r="180" spans="2:2" x14ac:dyDescent="0.25">
      <c r="B180" s="27"/>
    </row>
    <row r="181" spans="2:2" x14ac:dyDescent="0.25">
      <c r="B181" s="27"/>
    </row>
    <row r="182" spans="2:2" x14ac:dyDescent="0.25">
      <c r="B182" s="27"/>
    </row>
  </sheetData>
  <autoFilter ref="B3:H108" xr:uid="{39A633CB-DCF7-4E18-B50F-E63BE82A19C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I29"/>
  <sheetViews>
    <sheetView workbookViewId="0">
      <selection activeCell="B1" sqref="B1"/>
    </sheetView>
  </sheetViews>
  <sheetFormatPr defaultRowHeight="15" x14ac:dyDescent="0.25"/>
  <cols>
    <col min="1" max="1" width="2.42578125" style="1" customWidth="1"/>
    <col min="2" max="2" width="21.7109375" style="1" bestFit="1" customWidth="1"/>
    <col min="3" max="5" width="15.28515625" style="1" bestFit="1" customWidth="1"/>
    <col min="6" max="6" width="2.28515625" style="1" customWidth="1"/>
    <col min="7" max="9" width="17.28515625" style="1" customWidth="1"/>
    <col min="10" max="16384" width="9.140625" style="1"/>
  </cols>
  <sheetData>
    <row r="1" spans="2:9" ht="15.75" x14ac:dyDescent="0.25">
      <c r="B1" s="26" t="s">
        <v>237</v>
      </c>
    </row>
    <row r="3" spans="2:9" ht="15.75" thickBot="1" x14ac:dyDescent="0.3">
      <c r="B3" s="29" t="s">
        <v>243</v>
      </c>
      <c r="C3" s="34" t="s">
        <v>221</v>
      </c>
      <c r="D3" s="34" t="s">
        <v>222</v>
      </c>
      <c r="E3" s="34" t="s">
        <v>223</v>
      </c>
      <c r="G3" s="39" t="s">
        <v>244</v>
      </c>
      <c r="H3" s="39" t="s">
        <v>245</v>
      </c>
      <c r="I3" s="47" t="s">
        <v>271</v>
      </c>
    </row>
    <row r="4" spans="2:9" x14ac:dyDescent="0.25">
      <c r="B4" s="2" t="s">
        <v>225</v>
      </c>
      <c r="C4" s="35">
        <f>SUMIF('2.1 Database'!$J:$J,'2.2 P&amp;L statement'!$B4,'2.1 Database'!F:F)/1000000</f>
        <v>14.500341000000001</v>
      </c>
      <c r="D4" s="35">
        <f>SUMIF('2.1 Database'!$J:$J,'2.2 P&amp;L statement'!$B4,'2.1 Database'!G:G)/1000000</f>
        <v>16.148295364999999</v>
      </c>
      <c r="E4" s="35">
        <f>SUMIF('2.1 Database'!$J:$J,'2.2 P&amp;L statement'!$B4,'2.1 Database'!H:H)/1000000</f>
        <v>15.047803019</v>
      </c>
      <c r="G4" s="41">
        <f>(D4/C4)-1</f>
        <v>0.11364935245315944</v>
      </c>
      <c r="H4" s="41">
        <f>(E4/D4)-1</f>
        <v>-6.8149134080444096E-2</v>
      </c>
      <c r="I4" s="41"/>
    </row>
    <row r="5" spans="2:9" x14ac:dyDescent="0.25">
      <c r="B5" s="2" t="s">
        <v>66</v>
      </c>
      <c r="C5" s="35">
        <f>SUMIF('2.1 Database'!$J:$J,'2.2 P&amp;L statement'!$B5,'2.1 Database'!F:F)/1000000</f>
        <v>4.7948561920000001</v>
      </c>
      <c r="D5" s="35">
        <f>SUMIF('2.1 Database'!$J:$J,'2.2 P&amp;L statement'!$B5,'2.1 Database'!G:G)/1000000</f>
        <v>6.9602176449999993</v>
      </c>
      <c r="E5" s="35">
        <f>SUMIF('2.1 Database'!$J:$J,'2.2 P&amp;L statement'!$B5,'2.1 Database'!H:H)/1000000</f>
        <v>6.3736175140000002</v>
      </c>
      <c r="G5" s="41">
        <f t="shared" ref="G5:G24" si="0">(D5/C5)-1</f>
        <v>0.45160091696030569</v>
      </c>
      <c r="H5" s="41">
        <f t="shared" ref="H5:H24" si="1">(E5/D5)-1</f>
        <v>-8.4278992542911935E-2</v>
      </c>
      <c r="I5" s="41"/>
    </row>
    <row r="6" spans="2:9" x14ac:dyDescent="0.25">
      <c r="B6" s="30" t="s">
        <v>228</v>
      </c>
      <c r="C6" s="36">
        <f>SUMIF('2.1 Database'!$J:$J,'2.2 P&amp;L statement'!$B6,'2.1 Database'!F:F)/1000000</f>
        <v>3.2200542519999997</v>
      </c>
      <c r="D6" s="36">
        <f>SUMIF('2.1 Database'!$J:$J,'2.2 P&amp;L statement'!$B6,'2.1 Database'!G:G)/1000000</f>
        <v>2.9240919949999999</v>
      </c>
      <c r="E6" s="36">
        <f>SUMIF('2.1 Database'!$J:$J,'2.2 P&amp;L statement'!$B6,'2.1 Database'!H:H)/1000000</f>
        <v>4.8931777299999997</v>
      </c>
      <c r="G6" s="42">
        <f t="shared" si="0"/>
        <v>-9.1912195832158816E-2</v>
      </c>
      <c r="H6" s="42">
        <f t="shared" si="1"/>
        <v>0.67340074743441836</v>
      </c>
      <c r="I6" s="42"/>
    </row>
    <row r="7" spans="2:9" x14ac:dyDescent="0.25">
      <c r="B7" s="2" t="s">
        <v>238</v>
      </c>
      <c r="C7" s="35">
        <f>SUM(C4:C6)</f>
        <v>22.515251444</v>
      </c>
      <c r="D7" s="35">
        <f t="shared" ref="D7:E7" si="2">SUM(D4:D6)</f>
        <v>26.032605005000001</v>
      </c>
      <c r="E7" s="35">
        <f t="shared" si="2"/>
        <v>26.314598263000001</v>
      </c>
      <c r="G7" s="41">
        <f t="shared" si="0"/>
        <v>0.15622093183140207</v>
      </c>
      <c r="H7" s="41">
        <f t="shared" si="1"/>
        <v>1.0832310402506318E-2</v>
      </c>
      <c r="I7" s="41"/>
    </row>
    <row r="8" spans="2:9" x14ac:dyDescent="0.25">
      <c r="B8" s="30" t="s">
        <v>104</v>
      </c>
      <c r="C8" s="36">
        <f>SUMIF('2.1 Database'!$J:$J,'2.2 P&amp;L statement'!$B8,'2.1 Database'!F:F)/1000000</f>
        <v>-4.4289117640000004</v>
      </c>
      <c r="D8" s="36">
        <f>SUMIF('2.1 Database'!$J:$J,'2.2 P&amp;L statement'!$B8,'2.1 Database'!G:G)/1000000</f>
        <v>-5.4631888250000005</v>
      </c>
      <c r="E8" s="36">
        <f>SUMIF('2.1 Database'!$J:$J,'2.2 P&amp;L statement'!$B8,'2.1 Database'!H:H)/1000000</f>
        <v>-5.6741520669999996</v>
      </c>
      <c r="G8" s="42">
        <f t="shared" si="0"/>
        <v>0.23352848647991253</v>
      </c>
      <c r="H8" s="42">
        <f t="shared" si="1"/>
        <v>3.861540370609462E-2</v>
      </c>
      <c r="I8" s="42"/>
    </row>
    <row r="9" spans="2:9" x14ac:dyDescent="0.25">
      <c r="B9" s="2" t="s">
        <v>239</v>
      </c>
      <c r="C9" s="35">
        <f>SUM(C7:C8)</f>
        <v>18.086339680000002</v>
      </c>
      <c r="D9" s="35">
        <f t="shared" ref="D9:E9" si="3">SUM(D7:D8)</f>
        <v>20.569416180000001</v>
      </c>
      <c r="E9" s="35">
        <f t="shared" si="3"/>
        <v>20.640446195999999</v>
      </c>
      <c r="G9" s="41">
        <f t="shared" si="0"/>
        <v>0.13729016174266606</v>
      </c>
      <c r="H9" s="41">
        <f t="shared" si="1"/>
        <v>3.4531858064625887E-3</v>
      </c>
      <c r="I9" s="41"/>
    </row>
    <row r="10" spans="2:9" x14ac:dyDescent="0.25">
      <c r="B10" s="2" t="s">
        <v>226</v>
      </c>
      <c r="C10" s="35">
        <f>SUMIF('2.1 Database'!$J:$J,'2.2 P&amp;L statement'!$B10,'2.1 Database'!F:F)/1000000</f>
        <v>-3.3966489799999997</v>
      </c>
      <c r="D10" s="35">
        <f>SUMIF('2.1 Database'!$J:$J,'2.2 P&amp;L statement'!$B10,'2.1 Database'!G:G)/1000000</f>
        <v>-3.7048433449999996</v>
      </c>
      <c r="E10" s="35">
        <f>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  <c r="I10" s="41"/>
    </row>
    <row r="11" spans="2:9" x14ac:dyDescent="0.25">
      <c r="B11" s="2" t="s">
        <v>227</v>
      </c>
      <c r="C11" s="35">
        <f>SUMIF('2.1 Database'!$J:$J,'2.2 P&amp;L statement'!$B11,'2.1 Database'!F:F)/1000000</f>
        <v>-6.17073904</v>
      </c>
      <c r="D11" s="35">
        <f>SUMIF('2.1 Database'!$J:$J,'2.2 P&amp;L statement'!$B11,'2.1 Database'!G:G)/1000000</f>
        <v>-8.0718589449999989</v>
      </c>
      <c r="E11" s="35">
        <f>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  <c r="I11" s="41"/>
    </row>
    <row r="12" spans="2:9" x14ac:dyDescent="0.25">
      <c r="B12" s="2" t="s">
        <v>229</v>
      </c>
      <c r="C12" s="35">
        <f>SUMIF('2.1 Database'!$J:$J,'2.2 P&amp;L statement'!$B12,'2.1 Database'!F:F)/1000000</f>
        <v>-1.127445872</v>
      </c>
      <c r="D12" s="35">
        <f>SUMIF('2.1 Database'!$J:$J,'2.2 P&amp;L statement'!$B12,'2.1 Database'!G:G)/1000000</f>
        <v>-1.0553814750000001</v>
      </c>
      <c r="E12" s="35">
        <f>SUMIF('2.1 Database'!$J:$J,'2.2 P&amp;L statement'!$B12,'2.1 Database'!H:H)/1000000</f>
        <v>1.596053449</v>
      </c>
      <c r="G12" s="41">
        <f t="shared" si="0"/>
        <v>-6.391827651305626E-2</v>
      </c>
      <c r="H12" s="41">
        <f t="shared" si="1"/>
        <v>-2.512300042029826</v>
      </c>
      <c r="I12" s="41"/>
    </row>
    <row r="13" spans="2:9" x14ac:dyDescent="0.25">
      <c r="B13" s="2" t="s">
        <v>230</v>
      </c>
      <c r="C13" s="35">
        <f>SUMIF('2.1 Database'!$J:$J,'2.2 P&amp;L statement'!$B13,'2.1 Database'!F:F)/1000000</f>
        <v>-2.5430882079999995</v>
      </c>
      <c r="D13" s="35">
        <f>SUMIF('2.1 Database'!$J:$J,'2.2 P&amp;L statement'!$B13,'2.1 Database'!G:G)/1000000</f>
        <v>-1.837786345</v>
      </c>
      <c r="E13" s="35">
        <f>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  <c r="I13" s="41"/>
    </row>
    <row r="14" spans="2:9" x14ac:dyDescent="0.25">
      <c r="B14" s="2" t="s">
        <v>231</v>
      </c>
      <c r="C14" s="35">
        <f>SUMIF('2.1 Database'!$J:$J,'2.2 P&amp;L statement'!$B14,'2.1 Database'!F:F)/1000000</f>
        <v>-1.8135250039999999</v>
      </c>
      <c r="D14" s="35">
        <f>SUMIF('2.1 Database'!$J:$J,'2.2 P&amp;L statement'!$B14,'2.1 Database'!G:G)/1000000</f>
        <v>-2.3932591899999998</v>
      </c>
      <c r="E14" s="35">
        <f>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  <c r="I14" s="41"/>
    </row>
    <row r="15" spans="2:9" x14ac:dyDescent="0.25">
      <c r="B15" s="2" t="s">
        <v>74</v>
      </c>
      <c r="C15" s="35">
        <f>SUMIF('2.1 Database'!$J:$J,'2.2 P&amp;L statement'!$B15,'2.1 Database'!F:F)/1000000</f>
        <v>5.7221999999999995E-5</v>
      </c>
      <c r="D15" s="35">
        <f>SUMIF('2.1 Database'!$J:$J,'2.2 P&amp;L statement'!$B15,'2.1 Database'!G:G)/1000000</f>
        <v>-7.3574899999999995E-3</v>
      </c>
      <c r="E15" s="35">
        <f>SUMIF('2.1 Database'!$J:$J,'2.2 P&amp;L statement'!$B15,'2.1 Database'!H:H)/1000000</f>
        <v>4.678542799999999E-2</v>
      </c>
      <c r="G15" s="41">
        <f t="shared" si="0"/>
        <v>-129.57799447764845</v>
      </c>
      <c r="H15" s="41">
        <f t="shared" si="1"/>
        <v>-7.3588843477870842</v>
      </c>
      <c r="I15" s="41"/>
    </row>
    <row r="16" spans="2:9" x14ac:dyDescent="0.25">
      <c r="B16" s="31" t="s">
        <v>67</v>
      </c>
      <c r="C16" s="36">
        <f>SUMIF('2.1 Database'!$J:$J,'2.2 P&amp;L statement'!$B16,'2.1 Database'!F:F)/1000000</f>
        <v>5.2683321979999995</v>
      </c>
      <c r="D16" s="36">
        <f>SUMIF('2.1 Database'!$J:$J,'2.2 P&amp;L statement'!$B16,'2.1 Database'!G:G)/1000000</f>
        <v>0.74482694999999999</v>
      </c>
      <c r="E16" s="36">
        <f>SUMIF('2.1 Database'!$J:$J,'2.2 P&amp;L statement'!$B16,'2.1 Database'!H:H)/1000000</f>
        <v>0</v>
      </c>
      <c r="G16" s="42">
        <f t="shared" si="0"/>
        <v>-0.85862187082986985</v>
      </c>
      <c r="H16" s="42">
        <f t="shared" si="1"/>
        <v>-1</v>
      </c>
      <c r="I16" s="42"/>
    </row>
    <row r="17" spans="2:9" x14ac:dyDescent="0.25">
      <c r="B17" s="32" t="s">
        <v>240</v>
      </c>
      <c r="C17" s="37">
        <f>SUM(C9:C16)</f>
        <v>8.3032819960000026</v>
      </c>
      <c r="D17" s="37">
        <f t="shared" ref="D17:E17" si="4">SUM(D9:D16)</f>
        <v>4.2437563400000018</v>
      </c>
      <c r="E17" s="37">
        <f t="shared" si="4"/>
        <v>5.2904980409999993</v>
      </c>
      <c r="G17" s="43">
        <f t="shared" si="0"/>
        <v>-0.48890615276653548</v>
      </c>
      <c r="H17" s="43">
        <f t="shared" si="1"/>
        <v>0.24665452423217982</v>
      </c>
      <c r="I17" s="43"/>
    </row>
    <row r="18" spans="2:9" x14ac:dyDescent="0.25">
      <c r="B18" s="31" t="s">
        <v>72</v>
      </c>
      <c r="C18" s="36">
        <f>SUMIF('2.1 Database'!$J:$J,'2.2 P&amp;L statement'!$B18,'2.1 Database'!F:F)/1000000</f>
        <v>-2.045243514</v>
      </c>
      <c r="D18" s="36">
        <f>SUMIF('2.1 Database'!$J:$J,'2.2 P&amp;L statement'!$B18,'2.1 Database'!G:G)/1000000</f>
        <v>-2.0440058150000002</v>
      </c>
      <c r="E18" s="36">
        <f>SUMIF('2.1 Database'!$J:$J,'2.2 P&amp;L statement'!$B18,'2.1 Database'!H:H)/1000000</f>
        <v>-1.8883615140000001</v>
      </c>
      <c r="G18" s="42">
        <f t="shared" si="0"/>
        <v>-6.0515972378227811E-4</v>
      </c>
      <c r="H18" s="42">
        <f t="shared" si="1"/>
        <v>-7.6146701666795491E-2</v>
      </c>
      <c r="I18" s="42"/>
    </row>
    <row r="19" spans="2:9" x14ac:dyDescent="0.25">
      <c r="B19" s="1" t="s">
        <v>241</v>
      </c>
      <c r="C19" s="35">
        <f>SUM(C17:C18)</f>
        <v>6.2580384820000026</v>
      </c>
      <c r="D19" s="35">
        <f t="shared" ref="D19:E19" si="5">SUM(D17:D18)</f>
        <v>2.1997505250000016</v>
      </c>
      <c r="E19" s="35">
        <f t="shared" si="5"/>
        <v>3.4021365269999992</v>
      </c>
      <c r="G19" s="41">
        <f t="shared" si="0"/>
        <v>-0.64849201050342775</v>
      </c>
      <c r="H19" s="41">
        <f t="shared" si="1"/>
        <v>0.54660107513782585</v>
      </c>
      <c r="I19" s="41"/>
    </row>
    <row r="20" spans="2:9" x14ac:dyDescent="0.25">
      <c r="B20" s="2" t="s">
        <v>232</v>
      </c>
      <c r="C20" s="35">
        <f>SUMIF('2.1 Database'!$J:$J,'2.2 P&amp;L statement'!$B20,'2.1 Database'!F:F)/1000000</f>
        <v>-2.8426923660000001</v>
      </c>
      <c r="D20" s="35">
        <f>SUMIF('2.1 Database'!$J:$J,'2.2 P&amp;L statement'!$B20,'2.1 Database'!G:G)/1000000</f>
        <v>-2.7107469200000001</v>
      </c>
      <c r="E20" s="35">
        <f>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  <c r="I20" s="41"/>
    </row>
    <row r="21" spans="2:9" x14ac:dyDescent="0.25">
      <c r="B21" s="31" t="s">
        <v>233</v>
      </c>
      <c r="C21" s="36">
        <f>SUMIF('2.1 Database'!$J:$J,'2.2 P&amp;L statement'!$B21,'2.1 Database'!F:F)/1000000</f>
        <v>-2.2762999999999999E-2</v>
      </c>
      <c r="D21" s="36">
        <f>SUMIF('2.1 Database'!$J:$J,'2.2 P&amp;L statement'!$B21,'2.1 Database'!G:G)/1000000</f>
        <v>-4.5786198000000002</v>
      </c>
      <c r="E21" s="36">
        <f>SUMIF('2.1 Database'!$J:$J,'2.2 P&amp;L statement'!$B21,'2.1 Database'!H:H)/1000000</f>
        <v>-7.1731959999999989E-3</v>
      </c>
      <c r="G21" s="42">
        <f t="shared" si="0"/>
        <v>200.14307428722051</v>
      </c>
      <c r="H21" s="42">
        <f t="shared" si="1"/>
        <v>-0.99843332787754069</v>
      </c>
      <c r="I21" s="42"/>
    </row>
    <row r="22" spans="2:9" x14ac:dyDescent="0.25">
      <c r="B22" s="1" t="s">
        <v>242</v>
      </c>
      <c r="C22" s="35">
        <f>SUM(C19:C21)</f>
        <v>3.3925831160000026</v>
      </c>
      <c r="D22" s="35">
        <f t="shared" ref="D22:E22" si="6">SUM(D19:D21)</f>
        <v>-5.0896161949999987</v>
      </c>
      <c r="E22" s="35">
        <f t="shared" si="6"/>
        <v>1.1442555019999991</v>
      </c>
      <c r="G22" s="41">
        <f t="shared" si="0"/>
        <v>-2.5002185712109739</v>
      </c>
      <c r="H22" s="41">
        <f t="shared" si="1"/>
        <v>-1.2248215696743709</v>
      </c>
      <c r="I22" s="41"/>
    </row>
    <row r="23" spans="2:9" x14ac:dyDescent="0.25">
      <c r="B23" s="2" t="s">
        <v>234</v>
      </c>
      <c r="C23" s="35">
        <f>SUMIF('2.1 Database'!$J:$J,'2.2 P&amp;L statement'!$B23,'2.1 Database'!F:F)/1000000</f>
        <v>-0.48846512199999997</v>
      </c>
      <c r="D23" s="35">
        <f>SUMIF('2.1 Database'!$J:$J,'2.2 P&amp;L statement'!$B23,'2.1 Database'!G:G)/1000000</f>
        <v>-0.98419196500000017</v>
      </c>
      <c r="E23" s="35">
        <f>SUMIF('2.1 Database'!$J:$J,'2.2 P&amp;L statement'!$B23,'2.1 Database'!H:H)/1000000</f>
        <v>-0.36496502599999997</v>
      </c>
      <c r="G23" s="41">
        <f t="shared" si="0"/>
        <v>1.0148664063674953</v>
      </c>
      <c r="H23" s="41">
        <f t="shared" si="1"/>
        <v>-0.62917292664546398</v>
      </c>
      <c r="I23" s="41"/>
    </row>
    <row r="24" spans="2:9" ht="15.75" thickBot="1" x14ac:dyDescent="0.3">
      <c r="B24" s="33" t="s">
        <v>235</v>
      </c>
      <c r="C24" s="38">
        <f>SUM(C22:C23)</f>
        <v>2.9041179940000026</v>
      </c>
      <c r="D24" s="38">
        <f t="shared" ref="D24:E24" si="7">SUM(D22:D23)</f>
        <v>-6.0738081599999987</v>
      </c>
      <c r="E24" s="38">
        <f t="shared" si="7"/>
        <v>0.77929047599999923</v>
      </c>
      <c r="G24" s="44">
        <f t="shared" si="0"/>
        <v>-3.0914467568289834</v>
      </c>
      <c r="H24" s="44">
        <f t="shared" si="1"/>
        <v>-1.1283034392050999</v>
      </c>
      <c r="I24" s="44"/>
    </row>
    <row r="26" spans="2:9" x14ac:dyDescent="0.25">
      <c r="B26" s="45" t="s">
        <v>246</v>
      </c>
      <c r="C26" s="45"/>
      <c r="D26" s="45"/>
      <c r="E26" s="45"/>
    </row>
    <row r="27" spans="2:9" x14ac:dyDescent="0.25">
      <c r="B27" s="45" t="s">
        <v>247</v>
      </c>
      <c r="C27" s="46">
        <f>C9/C7</f>
        <v>0.80329281353949789</v>
      </c>
      <c r="D27" s="46">
        <f t="shared" ref="D27:E27" si="8">D9/D7</f>
        <v>0.79014052477841912</v>
      </c>
      <c r="E27" s="46">
        <f t="shared" si="8"/>
        <v>0.78437246085651935</v>
      </c>
    </row>
    <row r="28" spans="2:9" x14ac:dyDescent="0.25">
      <c r="B28" s="45" t="s">
        <v>248</v>
      </c>
      <c r="C28" s="46">
        <f>C17/C7</f>
        <v>0.36878477758296191</v>
      </c>
      <c r="D28" s="46">
        <f t="shared" ref="D28:E28" si="9">D17/D7</f>
        <v>0.16301696811306118</v>
      </c>
      <c r="E28" s="46">
        <f t="shared" si="9"/>
        <v>0.20104802619916018</v>
      </c>
    </row>
    <row r="29" spans="2:9" x14ac:dyDescent="0.25">
      <c r="B29" s="45" t="s">
        <v>249</v>
      </c>
      <c r="C29" s="46">
        <f>C19/C7</f>
        <v>0.2779466397506159</v>
      </c>
      <c r="D29" s="46">
        <f t="shared" ref="D29:E29" si="10">D19/D7</f>
        <v>8.4499823378317393E-2</v>
      </c>
      <c r="E29" s="46">
        <f t="shared" si="10"/>
        <v>0.12928704033394345</v>
      </c>
    </row>
  </sheetData>
  <sortState xmlns:xlrd2="http://schemas.microsoft.com/office/spreadsheetml/2017/richdata2" ref="E4:E19">
    <sortCondition ref="E4"/>
  </sortState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7EAE9CD-CF81-45C9-B4ED-62E81D1F419D}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'2.2 P&amp;L statement'!C4:E4</xm:f>
              <xm:sqref>I4</xm:sqref>
            </x14:sparkline>
            <x14:sparkline>
              <xm:f>'2.2 P&amp;L statement'!C5:E5</xm:f>
              <xm:sqref>I5</xm:sqref>
            </x14:sparkline>
            <x14:sparkline>
              <xm:f>'2.2 P&amp;L statement'!C6:E6</xm:f>
              <xm:sqref>I6</xm:sqref>
            </x14:sparkline>
            <x14:sparkline>
              <xm:f>'2.2 P&amp;L statement'!C7:E7</xm:f>
              <xm:sqref>I7</xm:sqref>
            </x14:sparkline>
            <x14:sparkline>
              <xm:f>'2.2 P&amp;L statement'!C8:E8</xm:f>
              <xm:sqref>I8</xm:sqref>
            </x14:sparkline>
            <x14:sparkline>
              <xm:f>'2.2 P&amp;L statement'!C9:E9</xm:f>
              <xm:sqref>I9</xm:sqref>
            </x14:sparkline>
            <x14:sparkline>
              <xm:f>'2.2 P&amp;L statement'!C10:E10</xm:f>
              <xm:sqref>I10</xm:sqref>
            </x14:sparkline>
            <x14:sparkline>
              <xm:f>'2.2 P&amp;L statement'!C11:E11</xm:f>
              <xm:sqref>I11</xm:sqref>
            </x14:sparkline>
            <x14:sparkline>
              <xm:f>'2.2 P&amp;L statement'!C12:E12</xm:f>
              <xm:sqref>I12</xm:sqref>
            </x14:sparkline>
            <x14:sparkline>
              <xm:f>'2.2 P&amp;L statement'!C13:E13</xm:f>
              <xm:sqref>I13</xm:sqref>
            </x14:sparkline>
            <x14:sparkline>
              <xm:f>'2.2 P&amp;L statement'!C14:E14</xm:f>
              <xm:sqref>I14</xm:sqref>
            </x14:sparkline>
            <x14:sparkline>
              <xm:f>'2.2 P&amp;L statement'!C15:E15</xm:f>
              <xm:sqref>I15</xm:sqref>
            </x14:sparkline>
            <x14:sparkline>
              <xm:f>'2.2 P&amp;L statement'!C16:E16</xm:f>
              <xm:sqref>I16</xm:sqref>
            </x14:sparkline>
            <x14:sparkline>
              <xm:f>'2.2 P&amp;L statement'!C17:E17</xm:f>
              <xm:sqref>I17</xm:sqref>
            </x14:sparkline>
            <x14:sparkline>
              <xm:f>'2.2 P&amp;L statement'!C18:E18</xm:f>
              <xm:sqref>I18</xm:sqref>
            </x14:sparkline>
            <x14:sparkline>
              <xm:f>'2.2 P&amp;L statement'!C19:E19</xm:f>
              <xm:sqref>I19</xm:sqref>
            </x14:sparkline>
            <x14:sparkline>
              <xm:f>'2.2 P&amp;L statement'!C20:E20</xm:f>
              <xm:sqref>I20</xm:sqref>
            </x14:sparkline>
            <x14:sparkline>
              <xm:f>'2.2 P&amp;L statement'!C21:E21</xm:f>
              <xm:sqref>I21</xm:sqref>
            </x14:sparkline>
            <x14:sparkline>
              <xm:f>'2.2 P&amp;L statement'!C22:E22</xm:f>
              <xm:sqref>I22</xm:sqref>
            </x14:sparkline>
            <x14:sparkline>
              <xm:f>'2.2 P&amp;L statement'!C23:E23</xm:f>
              <xm:sqref>I23</xm:sqref>
            </x14:sparkline>
            <x14:sparkline>
              <xm:f>'2.2 P&amp;L statement'!C24:E24</xm:f>
              <xm:sqref>I24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7"/>
  <sheetViews>
    <sheetView workbookViewId="0">
      <selection activeCell="B3" sqref="B3:E6"/>
    </sheetView>
  </sheetViews>
  <sheetFormatPr defaultColWidth="18.42578125" defaultRowHeight="15" x14ac:dyDescent="0.25"/>
  <cols>
    <col min="1" max="1" width="2.140625" style="1" customWidth="1"/>
    <col min="2" max="2" width="18.42578125" style="1"/>
    <col min="3" max="5" width="14.28515625" style="1" customWidth="1"/>
    <col min="6" max="16384" width="18.42578125" style="1"/>
  </cols>
  <sheetData>
    <row r="1" spans="2:5" ht="15.75" x14ac:dyDescent="0.25">
      <c r="B1" s="26" t="s">
        <v>272</v>
      </c>
    </row>
    <row r="3" spans="2:5" ht="15.75" thickBot="1" x14ac:dyDescent="0.3">
      <c r="B3" s="29" t="s">
        <v>243</v>
      </c>
      <c r="C3" s="34" t="s">
        <v>221</v>
      </c>
      <c r="D3" s="34" t="s">
        <v>222</v>
      </c>
      <c r="E3" s="34" t="s">
        <v>223</v>
      </c>
    </row>
    <row r="4" spans="2:5" x14ac:dyDescent="0.25">
      <c r="B4" s="2" t="s">
        <v>225</v>
      </c>
      <c r="C4" s="35">
        <f>SUMIF('2.1 Database'!$J:$J,'2.2 P&amp;L statement'!$B4,'2.1 Database'!F:F)/1000000</f>
        <v>14.500341000000001</v>
      </c>
      <c r="D4" s="35">
        <f>SUMIF('2.1 Database'!$J:$J,'2.2 P&amp;L statement'!$B4,'2.1 Database'!G:G)/1000000</f>
        <v>16.148295364999999</v>
      </c>
      <c r="E4" s="35">
        <f>SUMIF('2.1 Database'!$J:$J,'2.2 P&amp;L statement'!$B4,'2.1 Database'!H:H)/1000000</f>
        <v>15.047803019</v>
      </c>
    </row>
    <row r="5" spans="2:5" x14ac:dyDescent="0.25">
      <c r="B5" s="2" t="s">
        <v>66</v>
      </c>
      <c r="C5" s="35">
        <f>SUMIF('2.1 Database'!$J:$J,'2.2 P&amp;L statement'!$B5,'2.1 Database'!F:F)/1000000</f>
        <v>4.7948561920000001</v>
      </c>
      <c r="D5" s="35">
        <f>SUMIF('2.1 Database'!$J:$J,'2.2 P&amp;L statement'!$B5,'2.1 Database'!G:G)/1000000</f>
        <v>6.9602176449999993</v>
      </c>
      <c r="E5" s="35">
        <f>SUMIF('2.1 Database'!$J:$J,'2.2 P&amp;L statement'!$B5,'2.1 Database'!H:H)/1000000</f>
        <v>6.3736175140000002</v>
      </c>
    </row>
    <row r="6" spans="2:5" x14ac:dyDescent="0.25">
      <c r="B6" s="30" t="s">
        <v>228</v>
      </c>
      <c r="C6" s="36">
        <f>SUMIF('2.1 Database'!$J:$J,'2.2 P&amp;L statement'!$B6,'2.1 Database'!F:F)/1000000</f>
        <v>3.2200542519999997</v>
      </c>
      <c r="D6" s="36">
        <f>SUMIF('2.1 Database'!$J:$J,'2.2 P&amp;L statement'!$B6,'2.1 Database'!G:G)/1000000</f>
        <v>2.9240919949999999</v>
      </c>
      <c r="E6" s="36">
        <f>SUMIF('2.1 Database'!$J:$J,'2.2 P&amp;L statement'!$B6,'2.1 Database'!H:H)/1000000</f>
        <v>4.8931777299999997</v>
      </c>
    </row>
    <row r="7" spans="2:5" x14ac:dyDescent="0.25">
      <c r="B7" s="1" t="s">
        <v>247</v>
      </c>
      <c r="C7" s="40">
        <v>0.80329281353949789</v>
      </c>
      <c r="D7" s="40">
        <v>0.79014052477841912</v>
      </c>
      <c r="E7" s="40">
        <v>0.78437246085651935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E6"/>
  <sheetViews>
    <sheetView workbookViewId="0">
      <selection activeCell="B3" sqref="B3:E3"/>
    </sheetView>
  </sheetViews>
  <sheetFormatPr defaultRowHeight="12" x14ac:dyDescent="0.2"/>
  <cols>
    <col min="1" max="1" width="2" style="2" customWidth="1"/>
    <col min="2" max="2" width="19.140625" style="2" bestFit="1" customWidth="1"/>
    <col min="3" max="16384" width="9.140625" style="2"/>
  </cols>
  <sheetData>
    <row r="1" spans="2:5" ht="15.75" x14ac:dyDescent="0.25">
      <c r="B1" s="3" t="s">
        <v>273</v>
      </c>
    </row>
    <row r="3" spans="2:5" ht="15.75" thickBot="1" x14ac:dyDescent="0.3">
      <c r="B3" s="29" t="s">
        <v>243</v>
      </c>
      <c r="C3" s="34" t="s">
        <v>221</v>
      </c>
      <c r="D3" s="34" t="s">
        <v>222</v>
      </c>
      <c r="E3" s="34" t="s">
        <v>223</v>
      </c>
    </row>
    <row r="4" spans="2:5" ht="15" x14ac:dyDescent="0.25">
      <c r="B4" s="2" t="s">
        <v>225</v>
      </c>
      <c r="C4" s="35">
        <f>SUMIF('2.1 Database'!$J:$J,'2.2 P&amp;L statement'!$B4,'2.1 Database'!F:F)/1000000</f>
        <v>14.500341000000001</v>
      </c>
      <c r="D4" s="35">
        <f>SUMIF('2.1 Database'!$J:$J,'2.2 P&amp;L statement'!$B4,'2.1 Database'!G:G)/1000000</f>
        <v>16.148295364999999</v>
      </c>
      <c r="E4" s="35">
        <f>SUMIF('2.1 Database'!$J:$J,'2.2 P&amp;L statement'!$B4,'2.1 Database'!H:H)/1000000</f>
        <v>15.047803019</v>
      </c>
    </row>
    <row r="5" spans="2:5" ht="15" x14ac:dyDescent="0.25">
      <c r="B5" s="2" t="s">
        <v>66</v>
      </c>
      <c r="C5" s="35">
        <f>SUMIF('2.1 Database'!$J:$J,'2.2 P&amp;L statement'!$B5,'2.1 Database'!F:F)/1000000</f>
        <v>4.7948561920000001</v>
      </c>
      <c r="D5" s="35">
        <f>SUMIF('2.1 Database'!$J:$J,'2.2 P&amp;L statement'!$B5,'2.1 Database'!G:G)/1000000</f>
        <v>6.9602176449999993</v>
      </c>
      <c r="E5" s="35">
        <f>SUMIF('2.1 Database'!$J:$J,'2.2 P&amp;L statement'!$B5,'2.1 Database'!H:H)/1000000</f>
        <v>6.3736175140000002</v>
      </c>
    </row>
    <row r="6" spans="2:5" ht="15" x14ac:dyDescent="0.25">
      <c r="B6" s="30" t="s">
        <v>228</v>
      </c>
      <c r="C6" s="36">
        <f>SUMIF('2.1 Database'!$J:$J,'2.2 P&amp;L statement'!$B6,'2.1 Database'!F:F)/1000000</f>
        <v>3.2200542519999997</v>
      </c>
      <c r="D6" s="36">
        <f>SUMIF('2.1 Database'!$J:$J,'2.2 P&amp;L statement'!$B6,'2.1 Database'!G:G)/1000000</f>
        <v>2.9240919949999999</v>
      </c>
      <c r="E6" s="36">
        <f>SUMIF('2.1 Database'!$J:$J,'2.2 P&amp;L statement'!$B6,'2.1 Database'!H:H)/1000000</f>
        <v>4.8931777299999997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E5"/>
  <sheetViews>
    <sheetView workbookViewId="0">
      <selection activeCell="O10" sqref="O10"/>
    </sheetView>
  </sheetViews>
  <sheetFormatPr defaultRowHeight="12" x14ac:dyDescent="0.2"/>
  <cols>
    <col min="1" max="1" width="2" style="2" customWidth="1"/>
    <col min="2" max="2" width="14.42578125" style="2" bestFit="1" customWidth="1"/>
    <col min="3" max="16384" width="9.140625" style="2"/>
  </cols>
  <sheetData>
    <row r="1" spans="2:5" ht="15.75" x14ac:dyDescent="0.25">
      <c r="B1" s="3" t="s">
        <v>274</v>
      </c>
    </row>
    <row r="3" spans="2:5" ht="15.75" thickBot="1" x14ac:dyDescent="0.3">
      <c r="B3" s="29" t="s">
        <v>243</v>
      </c>
      <c r="C3" s="34" t="s">
        <v>221</v>
      </c>
      <c r="D3" s="34" t="s">
        <v>222</v>
      </c>
      <c r="E3" s="34" t="s">
        <v>223</v>
      </c>
    </row>
    <row r="4" spans="2:5" x14ac:dyDescent="0.2">
      <c r="B4" s="2" t="s">
        <v>275</v>
      </c>
      <c r="C4" s="2">
        <v>22.5</v>
      </c>
      <c r="D4" s="2">
        <v>26</v>
      </c>
      <c r="E4" s="2">
        <v>26.3</v>
      </c>
    </row>
    <row r="5" spans="2:5" x14ac:dyDescent="0.2">
      <c r="B5" s="2" t="s">
        <v>276</v>
      </c>
      <c r="C5" s="48">
        <v>0.80300000000000005</v>
      </c>
      <c r="D5" s="48">
        <v>0.79</v>
      </c>
      <c r="E5" s="48">
        <v>0.78400000000000003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C8"/>
  <sheetViews>
    <sheetView workbookViewId="0">
      <selection activeCell="H17" sqref="H17"/>
    </sheetView>
  </sheetViews>
  <sheetFormatPr defaultRowHeight="15" x14ac:dyDescent="0.25"/>
  <cols>
    <col min="1" max="1" width="3" style="1" customWidth="1"/>
    <col min="2" max="2" width="24.5703125" style="1" bestFit="1" customWidth="1"/>
    <col min="3" max="16384" width="9.140625" style="1"/>
  </cols>
  <sheetData>
    <row r="1" spans="2:3" ht="15.75" x14ac:dyDescent="0.25">
      <c r="B1" s="26" t="s">
        <v>250</v>
      </c>
    </row>
    <row r="3" spans="2:3" x14ac:dyDescent="0.25">
      <c r="B3" s="1" t="s">
        <v>225</v>
      </c>
      <c r="C3" s="35">
        <f>VLOOKUP(B3,'2.2 P&amp;L statement'!B4:C24,2,0)</f>
        <v>14.500341000000001</v>
      </c>
    </row>
    <row r="4" spans="2:3" x14ac:dyDescent="0.25">
      <c r="B4" s="1" t="s">
        <v>251</v>
      </c>
      <c r="C4" s="35">
        <f>VLOOKUP(B4,'2.2 P&amp;L statement'!B5:C25,2,0)</f>
        <v>-4.4289117640000004</v>
      </c>
    </row>
    <row r="5" spans="2:3" x14ac:dyDescent="0.25">
      <c r="B5" s="1" t="s">
        <v>252</v>
      </c>
      <c r="C5" s="35">
        <f>VLOOKUP(B5,'2.2 P&amp;L statement'!B6:C26,2,0)</f>
        <v>-3.3966489799999997</v>
      </c>
    </row>
    <row r="6" spans="2:3" x14ac:dyDescent="0.25">
      <c r="B6" s="1" t="s">
        <v>253</v>
      </c>
      <c r="C6" s="35">
        <f>VLOOKUP(B6,'2.2 P&amp;L statement'!B7:C27,2,0)</f>
        <v>-6.17073904</v>
      </c>
    </row>
    <row r="7" spans="2:3" x14ac:dyDescent="0.25">
      <c r="B7" s="1" t="s">
        <v>254</v>
      </c>
      <c r="C7" s="35">
        <f>VLOOKUP(B7,'2.2 P&amp;L statement'!B8:C28,2,0)</f>
        <v>5.7221999999999995E-5</v>
      </c>
    </row>
    <row r="8" spans="2:3" x14ac:dyDescent="0.25">
      <c r="B8" s="1" t="s">
        <v>240</v>
      </c>
      <c r="C8" s="35">
        <f>SUM(C3:C7)</f>
        <v>0.50409843800000009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sheetPr codeName="Sheet15"/>
  <dimension ref="B1:D13"/>
  <sheetViews>
    <sheetView workbookViewId="0">
      <selection activeCell="N8" sqref="N8"/>
    </sheetView>
  </sheetViews>
  <sheetFormatPr defaultRowHeight="15" x14ac:dyDescent="0.25"/>
  <cols>
    <col min="1" max="1" width="2.5703125" style="1" customWidth="1"/>
    <col min="2" max="3" width="9.140625" style="1"/>
    <col min="4" max="4" width="18" style="1" customWidth="1"/>
    <col min="5" max="16384" width="9.140625" style="1"/>
  </cols>
  <sheetData>
    <row r="1" spans="2:4" ht="15.75" x14ac:dyDescent="0.25">
      <c r="B1" s="26" t="s">
        <v>255</v>
      </c>
      <c r="C1" s="26"/>
    </row>
    <row r="4" spans="2:4" ht="15.75" thickBot="1" x14ac:dyDescent="0.3">
      <c r="B4" s="29" t="s">
        <v>256</v>
      </c>
      <c r="C4" s="29" t="s">
        <v>257</v>
      </c>
      <c r="D4" s="29" t="s">
        <v>258</v>
      </c>
    </row>
    <row r="5" spans="2:4" x14ac:dyDescent="0.25">
      <c r="B5" s="1" t="s">
        <v>259</v>
      </c>
      <c r="C5" s="1" t="s">
        <v>262</v>
      </c>
      <c r="D5" s="1">
        <v>21.2</v>
      </c>
    </row>
    <row r="6" spans="2:4" x14ac:dyDescent="0.25">
      <c r="B6" s="1" t="s">
        <v>259</v>
      </c>
      <c r="C6" s="1" t="s">
        <v>263</v>
      </c>
      <c r="D6" s="1">
        <v>8.9</v>
      </c>
    </row>
    <row r="7" spans="2:4" x14ac:dyDescent="0.25">
      <c r="B7" s="1" t="s">
        <v>259</v>
      </c>
      <c r="C7" s="1" t="s">
        <v>264</v>
      </c>
      <c r="D7" s="1">
        <v>7.5</v>
      </c>
    </row>
    <row r="8" spans="2:4" x14ac:dyDescent="0.25">
      <c r="B8" s="1" t="s">
        <v>260</v>
      </c>
      <c r="C8" s="1" t="s">
        <v>265</v>
      </c>
      <c r="D8" s="1">
        <v>23.9</v>
      </c>
    </row>
    <row r="9" spans="2:4" x14ac:dyDescent="0.25">
      <c r="B9" s="1" t="s">
        <v>260</v>
      </c>
      <c r="C9" s="1" t="s">
        <v>266</v>
      </c>
      <c r="D9" s="1">
        <v>5.4</v>
      </c>
    </row>
    <row r="10" spans="2:4" x14ac:dyDescent="0.25">
      <c r="B10" s="1" t="s">
        <v>260</v>
      </c>
      <c r="C10" s="1" t="s">
        <v>267</v>
      </c>
      <c r="D10" s="1">
        <v>3.2</v>
      </c>
    </row>
    <row r="11" spans="2:4" x14ac:dyDescent="0.25">
      <c r="B11" s="1" t="s">
        <v>261</v>
      </c>
      <c r="C11" s="1" t="s">
        <v>268</v>
      </c>
      <c r="D11" s="1">
        <v>25</v>
      </c>
    </row>
    <row r="12" spans="2:4" x14ac:dyDescent="0.25">
      <c r="B12" s="1" t="s">
        <v>261</v>
      </c>
      <c r="C12" s="1" t="s">
        <v>269</v>
      </c>
      <c r="D12" s="1">
        <v>4.0999999999999996</v>
      </c>
    </row>
    <row r="13" spans="2:4" x14ac:dyDescent="0.25">
      <c r="B13" s="1" t="s">
        <v>261</v>
      </c>
      <c r="C13" s="1" t="s">
        <v>270</v>
      </c>
      <c r="D13" s="1">
        <v>2.5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Treemap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2020-03-30T23:40:06Z</dcterms:modified>
</cp:coreProperties>
</file>